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leline" sheetId="1" state="visible" r:id="rId3"/>
    <sheet name="Cover" sheetId="2" state="visible" r:id="rId4"/>
    <sheet name="FunctionList" sheetId="3" state="visible" r:id="rId5"/>
    <sheet name="Test Report" sheetId="4" state="visible" r:id="rId6"/>
    <sheet name="CheckDate" sheetId="5" state="visible" r:id="rId7"/>
    <sheet name="DayInMonth" sheetId="6" state="visible" r:id="rId8"/>
    <sheet name="Function3" sheetId="7" state="visible" r:id="rId9"/>
    <sheet name="Example" sheetId="8" state="visible" r:id="rId10"/>
  </sheets>
  <definedNames>
    <definedName function="false" hidden="false" name="ACTION" vbProcedure="false">#ref!</definedName>
    <definedName function="false" hidden="false" localSheetId="3" name="Z_2C0D9096_8D85_462A_A9B5_0B488ADB4269__wvu_PrintArea" vbProcedure="false">'Test Report'!$A:$I</definedName>
    <definedName function="false" hidden="false" localSheetId="3" name="Z_6F1DCD5D_5DAC_4817_BF40_2B66F6F593E6__wvu_PrintArea" vbProcedure="false">'Test Report'!$A:$I</definedName>
    <definedName function="false" hidden="false" localSheetId="3" name="Z_BE54E0AD_3725_4423_92D7_4F1C045BE1BC__wvu_PrintArea" vbProcedure="false">'Test Report'!$A:$I</definedName>
    <definedName function="false" hidden="false" localSheetId="4" name="Z_2C0D9096_8D85_462A_A9B5_0B488ADB4269__wvu_Cols" vbProcedure="false">CheckDate!$E:$E</definedName>
    <definedName function="false" hidden="false" localSheetId="4" name="Z_6F1DCD5D_5DAC_4817_BF40_2B66F6F593E6__wvu_Cols" vbProcedure="false">CheckDate!$E:$E</definedName>
    <definedName function="false" hidden="false" localSheetId="4" name="Z_BE54E0AD_3725_4423_92D7_4F1C045BE1BC__wvu_Cols" vbProcedure="false">CheckDate!$E:$E</definedName>
    <definedName function="false" hidden="false" localSheetId="5" name="Z_2C0D9096_8D85_462A_A9B5_0B488ADB4269__wvu_Cols" vbProcedure="false">DayInMonth!$E:$E</definedName>
    <definedName function="false" hidden="false" localSheetId="5" name="Z_6F1DCD5D_5DAC_4817_BF40_2B66F6F593E6__wvu_Cols" vbProcedure="false">DayInMonth!$E:$E</definedName>
    <definedName function="false" hidden="false" localSheetId="5" name="Z_BE54E0AD_3725_4423_92D7_4F1C045BE1BC__wvu_Cols" vbProcedure="false">DayInMonth!$E:$E</definedName>
    <definedName function="false" hidden="false" localSheetId="6" name="Z_2C0D9096_8D85_462A_A9B5_0B488ADB4269__wvu_Cols" vbProcedure="false">Function3!$E:$E</definedName>
    <definedName function="false" hidden="false" localSheetId="6" name="Z_6F1DCD5D_5DAC_4817_BF40_2B66F6F593E6__wvu_Cols" vbProcedure="false">Function3!$E:$E</definedName>
    <definedName function="false" hidden="false" localSheetId="6" name="Z_BE54E0AD_3725_4423_92D7_4F1C045BE1BC__wvu_Cols" vbProcedure="false">Function3!$E:$E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11" authorId="0">
      <text>
        <r>
          <rPr>
            <sz val="10"/>
            <rFont val="Arial"/>
            <family val="2"/>
            <charset val="163"/>
          </rPr>
          <t xml:space="preserve">*A: Add
  M: Modify
  D: Delete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10</xdr:row>
                <xdr:rowOff>2</xdr:rowOff>
              </xdr:from>
              <xdr:to>
                <xdr:col>5</xdr:col>
                <xdr:colOff>12</xdr:colOff>
                <xdr:row>14</xdr:row>
                <xdr:rowOff>2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sz val="10"/>
            <rFont val="Arial"/>
            <family val="2"/>
            <charset val="163"/>
          </rPr>
          <t xml:space="preserve">Not mandatory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12</xdr:colOff>
                <xdr:row>4</xdr:row>
                <xdr:rowOff>2</xdr:rowOff>
              </xdr:from>
              <xdr:to>
                <xdr:col>2</xdr:col>
                <xdr:colOff>12</xdr:colOff>
                <xdr:row>8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  <charset val="163"/>
          </rPr>
          <t xml:space="preserve">Not mandatory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12</xdr:colOff>
                <xdr:row>9</xdr:row>
                <xdr:rowOff>2</xdr:rowOff>
              </xdr:from>
              <xdr:to>
                <xdr:col>3</xdr:col>
                <xdr:colOff>83</xdr:colOff>
                <xdr:row>13</xdr:row>
                <xdr:rowOff>2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sz val="10"/>
            <rFont val="Arial"/>
            <family val="2"/>
            <charset val="163"/>
          </rPr>
          <t xml:space="preserve">Not mandatory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12</xdr:colOff>
                <xdr:row>4</xdr:row>
                <xdr:rowOff>2</xdr:rowOff>
              </xdr:from>
              <xdr:to>
                <xdr:col>2</xdr:col>
                <xdr:colOff>12</xdr:colOff>
                <xdr:row>8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  <charset val="163"/>
          </rPr>
          <t xml:space="preserve">Not mandatory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12</xdr:colOff>
                <xdr:row>9</xdr:row>
                <xdr:rowOff>2</xdr:rowOff>
              </xdr:from>
              <xdr:to>
                <xdr:col>3</xdr:col>
                <xdr:colOff>83</xdr:colOff>
                <xdr:row>13</xdr:row>
                <xdr:rowOff>2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sz val="10"/>
            <rFont val="Arial"/>
            <family val="2"/>
            <charset val="163"/>
          </rPr>
          <t xml:space="preserve">Not mandatory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12</xdr:colOff>
                <xdr:row>4</xdr:row>
                <xdr:rowOff>2</xdr:rowOff>
              </xdr:from>
              <xdr:to>
                <xdr:col>2</xdr:col>
                <xdr:colOff>12</xdr:colOff>
                <xdr:row>8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  <charset val="163"/>
          </rPr>
          <t xml:space="preserve">Not mandatory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12</xdr:colOff>
                <xdr:row>9</xdr:row>
                <xdr:rowOff>2</xdr:rowOff>
              </xdr:from>
              <xdr:to>
                <xdr:col>3</xdr:col>
                <xdr:colOff>83</xdr:colOff>
                <xdr:row>13</xdr:row>
                <xdr:rowOff>2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sz val="10"/>
            <rFont val="Arial"/>
            <family val="2"/>
            <charset val="163"/>
          </rPr>
          <t xml:space="preserve">Not mandatory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12</xdr:colOff>
                <xdr:row>4</xdr:row>
                <xdr:rowOff>2</xdr:rowOff>
              </xdr:from>
              <xdr:to>
                <xdr:col>2</xdr:col>
                <xdr:colOff>12</xdr:colOff>
                <xdr:row>8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  <charset val="163"/>
          </rPr>
          <t xml:space="preserve">Not mandatory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12</xdr:colOff>
                <xdr:row>9</xdr:row>
                <xdr:rowOff>2</xdr:rowOff>
              </xdr:from>
              <xdr:to>
                <xdr:col>3</xdr:col>
                <xdr:colOff>83</xdr:colOff>
                <xdr:row>13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<sst xmlns="http://schemas.openxmlformats.org/spreadsheetml/2006/main" count="432" uniqueCount="191">
  <si>
    <t xml:space="preserve">Guideline to make and understand Unit Test Case</t>
  </si>
  <si>
    <t xml:space="preserve">1. Overview</t>
  </si>
  <si>
    <t xml:space="preserve"> - In the template, Unit test cases are based on functions. Each sheet presents test cases for one function.</t>
  </si>
  <si>
    <r>
      <rPr>
        <sz val="10"/>
        <rFont val="Tahoma"/>
        <family val="2"/>
        <charset val="1"/>
      </rPr>
      <t xml:space="preserve"> - </t>
    </r>
    <r>
      <rPr>
        <b val="true"/>
        <sz val="10"/>
        <rFont val="Tahoma"/>
        <family val="2"/>
        <charset val="1"/>
      </rPr>
      <t xml:space="preserve">Cover</t>
    </r>
    <r>
      <rPr>
        <sz val="10"/>
        <rFont val="Tahoma"/>
        <family val="2"/>
        <charset val="1"/>
      </rPr>
      <t xml:space="preserve">: General information of the project and Unit Test cases</t>
    </r>
  </si>
  <si>
    <r>
      <rPr>
        <sz val="10"/>
        <rFont val="Tahoma"/>
        <family val="2"/>
        <charset val="1"/>
      </rPr>
      <t xml:space="preserve"> - </t>
    </r>
    <r>
      <rPr>
        <b val="true"/>
        <sz val="10"/>
        <rFont val="Tahoma"/>
        <family val="2"/>
        <charset val="1"/>
      </rPr>
      <t xml:space="preserve">FunctionList</t>
    </r>
    <r>
      <rPr>
        <sz val="10"/>
        <rFont val="Tahoma"/>
        <family val="2"/>
        <charset val="1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</si>
  <si>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sz val="10"/>
        <rFont val="Tahoma"/>
        <family val="2"/>
        <charset val="1"/>
      </rPr>
      <t xml:space="preserve">     + Click on Function link to open the related Test cases of the function.  
     </t>
    </r>
    <r>
      <rPr>
        <i val="true"/>
        <sz val="10"/>
        <rFont val="Tahoma"/>
        <family val="2"/>
        <charset val="1"/>
      </rPr>
      <t xml:space="preserve">Note:</t>
    </r>
    <r>
      <rPr>
        <sz val="10"/>
        <rFont val="Tahoma"/>
        <family val="2"/>
        <charset val="1"/>
      </rPr>
      <t xml:space="preserve"> You should create new Function sheet before creating the link</t>
    </r>
  </si>
  <si>
    <r>
      <rPr>
        <sz val="10"/>
        <rFont val="Tahoma"/>
        <family val="2"/>
        <charset val="1"/>
      </rPr>
      <t xml:space="preserve"> - </t>
    </r>
    <r>
      <rPr>
        <b val="true"/>
        <sz val="10"/>
        <rFont val="Tahoma"/>
        <family val="2"/>
        <charset val="1"/>
      </rPr>
      <t xml:space="preserve">Test Report</t>
    </r>
    <r>
      <rPr>
        <sz val="10"/>
        <rFont val="Tahoma"/>
        <family val="2"/>
        <charset val="1"/>
      </rPr>
      <t xml:space="preserve"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</si>
  <si>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</si>
  <si>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 xml:space="preserve">2. Content in Test function sheet</t>
  </si>
  <si>
    <t xml:space="preserve"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</si>
  <si>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</si>
  <si>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</si>
  <si>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</si>
  <si>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</si>
  <si>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</si>
  <si>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 xml:space="preserve"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</si>
  <si>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</si>
  <si>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</si>
  <si>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</si>
  <si>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</si>
  <si>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</si>
  <si>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</si>
  <si>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</si>
  <si>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</si>
  <si>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</si>
  <si>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</si>
  <si>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</si>
  <si>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</si>
  <si>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</si>
  <si>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</si>
  <si>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</si>
  <si>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</si>
  <si>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</si>
  <si>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</si>
  <si>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c. Type of test cases and result:</t>
  </si>
  <si>
    <t xml:space="preserve">        - Type of test case: It includes normal, boundary and abnormal test cases. User selects the type based on the type of input data.</t>
  </si>
  <si>
    <r>
      <rPr>
        <sz val="10"/>
        <rFont val="Tahoma"/>
        <family val="2"/>
        <charset val="1"/>
      </rPr>
      <t xml:space="preserve">        - Test case result: the actual output results comparing with the Confirmation.
                 </t>
    </r>
    <r>
      <rPr>
        <b val="true"/>
        <sz val="10"/>
        <rFont val="Tahoma"/>
        <family val="2"/>
        <charset val="1"/>
      </rPr>
      <t xml:space="preserve">P</t>
    </r>
    <r>
      <rPr>
        <sz val="10"/>
        <rFont val="Tahoma"/>
        <family val="2"/>
        <charset val="1"/>
      </rPr>
      <t xml:space="preserve"> for Passed and </t>
    </r>
    <r>
      <rPr>
        <b val="true"/>
        <sz val="10"/>
        <rFont val="Tahoma"/>
        <family val="2"/>
        <charset val="1"/>
      </rPr>
      <t xml:space="preserve">F</t>
    </r>
    <r>
      <rPr>
        <sz val="10"/>
        <rFont val="Tahoma"/>
        <family val="2"/>
        <charset val="1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</si>
  <si>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</si>
  <si>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</si>
  <si>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</si>
  <si>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</si>
  <si>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</si>
  <si>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</si>
  <si>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</si>
  <si>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</si>
  <si>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 xml:space="preserve">UNIT TEST CASE</t>
  </si>
  <si>
    <t xml:space="preserve">Project Name</t>
  </si>
  <si>
    <t xml:space="preserve">Date Time Checker</t>
  </si>
  <si>
    <t xml:space="preserve">Creator</t>
  </si>
  <si>
    <t xml:space="preserve">Huỳnh Văn Tiến Đạt</t>
  </si>
  <si>
    <t xml:space="preserve">Project Code</t>
  </si>
  <si>
    <t xml:space="preserve">FU-SWT</t>
  </si>
  <si>
    <t xml:space="preserve">Reviewer/Approver</t>
  </si>
  <si>
    <t xml:space="preserve">Not assigned</t>
  </si>
  <si>
    <t xml:space="preserve">Document Code</t>
  </si>
  <si>
    <t xml:space="preserve">FU-SWT_UnitTest_v1.0</t>
  </si>
  <si>
    <t xml:space="preserve">Issue Date</t>
  </si>
  <si>
    <t xml:space="preserve">26/09/2026</t>
  </si>
  <si>
    <t xml:space="preserve">Version</t>
  </si>
  <si>
    <t xml:space="preserve">v1.0</t>
  </si>
  <si>
    <t xml:space="preserve">Record of change</t>
  </si>
  <si>
    <t xml:space="preserve">Effective Date</t>
  </si>
  <si>
    <t xml:space="preserve">Change Item</t>
  </si>
  <si>
    <t xml:space="preserve">*A,D,M</t>
  </si>
  <si>
    <t xml:space="preserve">Change description</t>
  </si>
  <si>
    <t xml:space="preserve">Reference</t>
  </si>
  <si>
    <t xml:space="preserve">Lab 2 unit test cases</t>
  </si>
  <si>
    <t xml:space="preserve">A</t>
  </si>
  <si>
    <t xml:space="preserve">15 cases per function; expected outcomes from flowcharts.</t>
  </si>
  <si>
    <t xml:space="preserve">ProjectIntroduction.docx; Lab2-WritingUnitTestCase.docx</t>
  </si>
  <si>
    <t xml:space="preserve">UNIT TEST CASE LIST</t>
  </si>
  <si>
    <t xml:space="preserve">Normal number of Test cases/KLOC </t>
  </si>
  <si>
    <t xml:space="preserve">N/A</t>
  </si>
  <si>
    <t xml:space="preserve">Test Environment Setup Description</t>
  </si>
  <si>
    <t xml:space="preserve">Direct C# .NET unit calls on Windows; no server, database, or UI required.</t>
  </si>
  <si>
    <t xml:space="preserve">No</t>
  </si>
  <si>
    <t xml:space="preserve">Requirement
Name</t>
  </si>
  <si>
    <t xml:space="preserve">Class Name</t>
  </si>
  <si>
    <t xml:space="preserve">Function Name</t>
  </si>
  <si>
    <t xml:space="preserve"> Function Code(Optional)</t>
  </si>
  <si>
    <t xml:space="preserve">Sheet Name</t>
  </si>
  <si>
    <t xml:space="preserve">Description</t>
  </si>
  <si>
    <t xml:space="preserve">Pre-Condition</t>
  </si>
  <si>
    <t xml:space="preserve">Gregorian date validity</t>
  </si>
  <si>
    <t xml:space="preserve">DateTimeChecker</t>
  </si>
  <si>
    <t xml:space="preserve">IsValidDate</t>
  </si>
  <si>
    <t xml:space="preserve">DTC-CD</t>
  </si>
  <si>
    <t xml:space="preserve">Check month/day and Gregorian leap years</t>
  </si>
  <si>
    <t xml:space="preserve">Year Short, Month and Day Byte</t>
  </si>
  <si>
    <t xml:space="preserve">Gregorian month length</t>
  </si>
  <si>
    <t xml:space="preserve">DaysInMonth</t>
  </si>
  <si>
    <t xml:space="preserve">DTC-DIM</t>
  </si>
  <si>
    <t xml:space="preserve">Return number of days in month; 0 for invalid month</t>
  </si>
  <si>
    <t xml:space="preserve">Year UShort, Month Byte</t>
  </si>
  <si>
    <t xml:space="preserve">UNIT TEST REPORT</t>
  </si>
  <si>
    <t xml:space="preserve">Nguyễn Gia Thắng</t>
  </si>
  <si>
    <t xml:space="preserve">FU-SWT_Test Report_v1.0</t>
  </si>
  <si>
    <t xml:space="preserve">Notes</t>
  </si>
  <si>
    <t xml:space="preserve">Lab 2: DaysInMonth and IsValidDate. Expected results only; source code not supplied.</t>
  </si>
  <si>
    <t xml:space="preserve">Function code</t>
  </si>
  <si>
    <t xml:space="preserve">Passed</t>
  </si>
  <si>
    <t xml:space="preserve">Failed</t>
  </si>
  <si>
    <t xml:space="preserve">Untested</t>
  </si>
  <si>
    <t xml:space="preserve">N</t>
  </si>
  <si>
    <t xml:space="preserve">B</t>
  </si>
  <si>
    <t xml:space="preserve">Total Test Cases</t>
  </si>
  <si>
    <t xml:space="preserve">Sub total</t>
  </si>
  <si>
    <t xml:space="preserve">Test coverage</t>
  </si>
  <si>
    <t xml:space="preserve">%</t>
  </si>
  <si>
    <t xml:space="preserve">Test successful coverage</t>
  </si>
  <si>
    <t xml:space="preserve">Normal case</t>
  </si>
  <si>
    <t xml:space="preserve">Abnormal case</t>
  </si>
  <si>
    <t xml:space="preserve">Boundary case</t>
  </si>
  <si>
    <t xml:space="preserve">Function Code</t>
  </si>
  <si>
    <t xml:space="preserve">Created By</t>
  </si>
  <si>
    <t xml:space="preserve">Executed By</t>
  </si>
  <si>
    <t xml:space="preserve">Not executed</t>
  </si>
  <si>
    <t xml:space="preserve">Lines  of code</t>
  </si>
  <si>
    <t xml:space="preserve">Lack of test cases</t>
  </si>
  <si>
    <t xml:space="preserve">Test requirement</t>
  </si>
  <si>
    <t xml:space="preserve">Return true only when month and day form a valid Gregorian date.</t>
  </si>
  <si>
    <t xml:space="preserve">N/A/B</t>
  </si>
  <si>
    <t xml:space="preserve">CD01</t>
  </si>
  <si>
    <t xml:space="preserve">CD02</t>
  </si>
  <si>
    <t xml:space="preserve">CD03</t>
  </si>
  <si>
    <t xml:space="preserve">CD04</t>
  </si>
  <si>
    <t xml:space="preserve">CD05</t>
  </si>
  <si>
    <t xml:space="preserve">CD06</t>
  </si>
  <si>
    <t xml:space="preserve">CD07</t>
  </si>
  <si>
    <t xml:space="preserve">CD08</t>
  </si>
  <si>
    <t xml:space="preserve">CD09</t>
  </si>
  <si>
    <t xml:space="preserve">CD10</t>
  </si>
  <si>
    <t xml:space="preserve">CD11</t>
  </si>
  <si>
    <t xml:space="preserve">CD12</t>
  </si>
  <si>
    <t xml:space="preserve">CD13</t>
  </si>
  <si>
    <t xml:space="preserve">CD14</t>
  </si>
  <si>
    <t xml:space="preserve">CD15</t>
  </si>
  <si>
    <t xml:space="preserve">Condition</t>
  </si>
  <si>
    <t xml:space="preserve">Precondition </t>
  </si>
  <si>
    <t xml:space="preserve">Direct call</t>
  </si>
  <si>
    <t xml:space="preserve">Day</t>
  </si>
  <si>
    <t xml:space="preserve">O</t>
  </si>
  <si>
    <t xml:space="preserve">Month</t>
  </si>
  <si>
    <t xml:space="preserve">Year</t>
  </si>
  <si>
    <t xml:space="preserve">Confirm</t>
  </si>
  <si>
    <t xml:space="preserve">Return</t>
  </si>
  <si>
    <t xml:space="preserve">T</t>
  </si>
  <si>
    <t xml:space="preserve">F</t>
  </si>
  <si>
    <t xml:space="preserve">Exception</t>
  </si>
  <si>
    <t xml:space="preserve">Log message</t>
  </si>
  <si>
    <t xml:space="preserve">Result</t>
  </si>
  <si>
    <t xml:space="preserve">Type(N : Normal, A : Abnormal, B : Boundary)</t>
  </si>
  <si>
    <t xml:space="preserve">Passed/Failed</t>
  </si>
  <si>
    <t xml:space="preserve">Executed Date</t>
  </si>
  <si>
    <t xml:space="preserve">Defect ID</t>
  </si>
  <si>
    <t xml:space="preserve">Gregorian days per month; return 0 for an invalid month.</t>
  </si>
  <si>
    <t xml:space="preserve">DIM01</t>
  </si>
  <si>
    <t xml:space="preserve">DIM02</t>
  </si>
  <si>
    <t xml:space="preserve">DIM03</t>
  </si>
  <si>
    <t xml:space="preserve">DIM04</t>
  </si>
  <si>
    <t xml:space="preserve">DIM05</t>
  </si>
  <si>
    <t xml:space="preserve">DIM06</t>
  </si>
  <si>
    <t xml:space="preserve">DIM07</t>
  </si>
  <si>
    <t xml:space="preserve">DIM08</t>
  </si>
  <si>
    <t xml:space="preserve">DIM09</t>
  </si>
  <si>
    <t xml:space="preserve">DIM10</t>
  </si>
  <si>
    <t xml:space="preserve">DIM11</t>
  </si>
  <si>
    <t xml:space="preserve">DIM12</t>
  </si>
  <si>
    <t xml:space="preserve">DIM13</t>
  </si>
  <si>
    <t xml:space="preserve">DIM14</t>
  </si>
  <si>
    <t xml:space="preserve">DIM15</t>
  </si>
  <si>
    <t xml:space="preserve">&lt;Developer Name&gt;</t>
  </si>
  <si>
    <t xml:space="preserve">Unused sample form — not part of Lab 2 submission.</t>
  </si>
  <si>
    <t xml:space="preserve">Can connect with server</t>
  </si>
  <si>
    <t xml:space="preserve">Input1</t>
  </si>
  <si>
    <t xml:space="preserve">"1"</t>
  </si>
  <si>
    <t xml:space="preserve">""</t>
  </si>
  <si>
    <t xml:space="preserve">null</t>
  </si>
  <si>
    <t xml:space="preserve">Input2</t>
  </si>
  <si>
    <t xml:space="preserve">&gt;=5 &amp; &lt;= 10</t>
  </si>
  <si>
    <t xml:space="preserve">"success"</t>
  </si>
  <si>
    <t xml:space="preserve">"input1 is null"</t>
  </si>
  <si>
    <t xml:space="preserve">a</t>
  </si>
  <si>
    <t xml:space="preserve">b</t>
  </si>
  <si>
    <t xml:space="preserve">c</t>
  </si>
  <si>
    <t xml:space="preserve">list </t>
  </si>
  <si>
    <t xml:space="preserve">size = 0</t>
  </si>
  <si>
    <t xml:space="preserve">{-1/2}</t>
  </si>
  <si>
    <t xml:space="preserve">{1,1}</t>
  </si>
  <si>
    <t xml:space="preserve">{1,-3}</t>
  </si>
  <si>
    <t xml:space="preserve">"please input a&gt;= -1"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</si>
</sst>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-* #,##0.00_-;\-* #,##0.00_-;_-* \-??_-;_-@_-"/>
    <numFmt numFmtId="166" formatCode="_-* #,##0_-;\-* #,##0_-;_-* \-_-;_-@_-"/>
    <numFmt numFmtId="167" formatCode="_-* #,##0.00&quot; ₫&quot;_-;\-* #,##0.00&quot; ₫&quot;_-;_-* \-??&quot; ₫&quot;_-;_-@_-"/>
    <numFmt numFmtId="168" formatCode="_-* #,##0&quot; ₫&quot;_-;\-* #,##0&quot; ₫&quot;_-;_-* &quot;- ₫&quot;_-;_-@_-"/>
    <numFmt numFmtId="169" formatCode="0%"/>
    <numFmt numFmtId="170" formatCode="d\-mmm\-yy;@"/>
    <numFmt numFmtId="171" formatCode="@"/>
    <numFmt numFmtId="172" formatCode="[$-409]d\-mmm\-yy"/>
    <numFmt numFmtId="173" formatCode="0"/>
    <numFmt numFmtId="174" formatCode="[$-409]m/d/yyyy"/>
    <numFmt numFmtId="175" formatCode="0.00%"/>
    <numFmt numFmtId="176" formatCode="0.00"/>
    <numFmt numFmtId="177" formatCode="mm/dd"/>
  </numFmts>
  <fonts count="49">
    <font>
      <sz val="11"/>
      <name val="ＭＳ Ｐゴシック"/>
      <family val="0"/>
      <charset val="1"/>
    </font>
    <font>
      <sz val="10"/>
      <name val="Arial"/>
      <family val="0"/>
      <charset val="163"/>
    </font>
    <font>
      <sz val="10"/>
      <name val="Arial"/>
      <family val="0"/>
      <charset val="163"/>
    </font>
    <font>
      <sz val="10"/>
      <name val="Arial"/>
      <family val="0"/>
      <charset val="163"/>
    </font>
    <font>
      <sz val="11"/>
      <color rgb="FF0000FF"/>
      <name val="ＭＳ Ｐゴシック"/>
      <family val="0"/>
      <charset val="1"/>
    </font>
    <font>
      <sz val="10"/>
      <name val="Arial"/>
      <family val="0"/>
      <charset val="1"/>
    </font>
    <font>
      <sz val="9"/>
      <name val="ＭＳ ゴシック"/>
      <family val="0"/>
      <charset val="1"/>
    </font>
    <font>
      <sz val="11"/>
      <name val="Tahoma"/>
      <family val="0"/>
      <charset val="1"/>
    </font>
    <font>
      <b val="true"/>
      <sz val="18"/>
      <name val="Tahoma"/>
      <family val="0"/>
      <charset val="1"/>
    </font>
    <font>
      <b val="true"/>
      <sz val="11"/>
      <name val="Tahoma"/>
      <family val="0"/>
      <charset val="1"/>
    </font>
    <font>
      <b val="true"/>
      <sz val="12"/>
      <name val="Tahoma"/>
      <family val="0"/>
      <charset val="1"/>
    </font>
    <font>
      <b val="true"/>
      <sz val="14"/>
      <name val="Tahoma"/>
      <family val="0"/>
      <charset val="1"/>
    </font>
    <font>
      <sz val="10"/>
      <name val="Tahoma"/>
      <family val="0"/>
      <charset val="1"/>
    </font>
    <font>
      <sz val="10"/>
      <name val="Tahoma"/>
      <family val="2"/>
      <charset val="1"/>
    </font>
    <font>
      <b val="true"/>
      <sz val="10"/>
      <name val="Tahoma"/>
      <family val="2"/>
      <charset val="1"/>
    </font>
    <font>
      <i val="true"/>
      <sz val="10"/>
      <name val="Tahoma"/>
      <family val="2"/>
      <charset val="1"/>
    </font>
    <font>
      <i val="true"/>
      <sz val="10"/>
      <name val="Tahoma"/>
      <family val="0"/>
      <charset val="1"/>
    </font>
    <font>
      <i val="true"/>
      <sz val="11"/>
      <name val="Tahoma"/>
      <family val="0"/>
      <charset val="1"/>
    </font>
    <font>
      <sz val="10.5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26"/>
      <color rgb="FFFF0000"/>
      <name val="Tahoma"/>
      <family val="0"/>
      <charset val="1"/>
    </font>
    <font>
      <b val="true"/>
      <sz val="20"/>
      <color rgb="FF000000"/>
      <name val="Tahoma"/>
      <family val="0"/>
      <charset val="1"/>
    </font>
    <font>
      <b val="true"/>
      <sz val="10"/>
      <color rgb="FF993300"/>
      <name val="Tahoma"/>
      <family val="0"/>
      <charset val="1"/>
    </font>
    <font>
      <i val="true"/>
      <sz val="10"/>
      <color rgb="FF00800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name val="Arial"/>
      <family val="2"/>
      <charset val="163"/>
    </font>
    <font>
      <b val="true"/>
      <sz val="10"/>
      <color rgb="FF000000"/>
      <name val="Tahoma"/>
      <family val="0"/>
      <charset val="1"/>
    </font>
    <font>
      <b val="true"/>
      <sz val="10"/>
      <color rgb="FFFF0000"/>
      <name val="Tahoma"/>
      <family val="0"/>
      <charset val="1"/>
    </font>
    <font>
      <sz val="10"/>
      <color rgb="FF0000EE"/>
      <name val="Arial"/>
      <family val="0"/>
      <charset val="1"/>
    </font>
    <font>
      <sz val="10"/>
      <color rgb="FF0000FF"/>
      <name val="Tahoma"/>
      <family val="0"/>
      <charset val="1"/>
    </font>
    <font>
      <sz val="11"/>
      <color rgb="FF0000FF"/>
      <name val="Tahoma"/>
      <family val="0"/>
      <charset val="1"/>
    </font>
    <font>
      <sz val="10"/>
      <color rgb="FFFFFFFF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9"/>
      <color rgb="FF000000"/>
      <name val="ＭＳ Ｐゴシック"/>
      <family val="2"/>
    </font>
    <font>
      <sz val="9"/>
      <color rgb="FF000000"/>
      <name val="ＭＳ Ｐゴシック"/>
      <family val="2"/>
    </font>
    <font>
      <sz val="6.9"/>
      <color rgb="FF000000"/>
      <name val="ＭＳ Ｐゴシック"/>
      <family val="2"/>
    </font>
    <font>
      <b val="true"/>
      <sz val="11"/>
      <color rgb="FF000000"/>
      <name val="ＭＳ Ｐゴシック"/>
      <family val="2"/>
    </font>
    <font>
      <sz val="11"/>
      <color rgb="FF000000"/>
      <name val="ＭＳ Ｐゴシック"/>
      <family val="2"/>
    </font>
    <font>
      <sz val="8.5"/>
      <color rgb="FF000000"/>
      <name val="ＭＳ Ｐゴシック"/>
      <family val="2"/>
    </font>
    <font>
      <sz val="8"/>
      <name val="Tahoma"/>
      <family val="0"/>
      <charset val="1"/>
    </font>
    <font>
      <b val="true"/>
      <sz val="8"/>
      <name val="Tahoma"/>
      <family val="0"/>
      <charset val="1"/>
    </font>
    <font>
      <i val="true"/>
      <sz val="8"/>
      <name val="Tahoma"/>
      <family val="0"/>
      <charset val="1"/>
    </font>
    <font>
      <b val="true"/>
      <sz val="8"/>
      <color rgb="FFFFFFFF"/>
      <name val="Tahoma"/>
      <family val="0"/>
      <charset val="1"/>
    </font>
    <font>
      <sz val="8"/>
      <color rgb="FFFFFFFF"/>
      <name val="Tahoma"/>
      <family val="0"/>
      <charset val="1"/>
    </font>
    <font>
      <sz val="8"/>
      <color rgb="FF008000"/>
      <name val="Tahoma"/>
      <family val="0"/>
      <charset val="1"/>
    </font>
    <font>
      <b val="true"/>
      <sz val="12"/>
      <name val="Courier New"/>
      <family val="0"/>
      <charset val="1"/>
    </font>
    <font>
      <b val="true"/>
      <sz val="8"/>
      <name val="Courier New"/>
      <family val="0"/>
      <charset val="1"/>
    </font>
    <font>
      <sz val="8"/>
      <name val="Courier Ne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FF9900"/>
        <bgColor rgb="FFFFCC00"/>
      </patternFill>
    </fill>
  </fills>
  <borders count="6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double"/>
      <right style="hair"/>
      <top style="double"/>
      <bottom style="medium">
        <color rgb="FFFFFFFF"/>
      </bottom>
      <diagonal/>
    </border>
    <border diagonalUp="false" diagonalDown="false">
      <left/>
      <right/>
      <top style="double"/>
      <bottom style="medium">
        <color rgb="FFFFFFFF"/>
      </bottom>
      <diagonal/>
    </border>
    <border diagonalUp="false" diagonalDown="false">
      <left/>
      <right style="double"/>
      <top style="double"/>
      <bottom style="medium">
        <color rgb="FFFFFFFF"/>
      </bottom>
      <diagonal/>
    </border>
    <border diagonalUp="false" diagonalDown="false">
      <left style="double"/>
      <right style="thin"/>
      <top style="medium">
        <color rgb="FFFFFFFF"/>
      </top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 style="double"/>
      <top style="double"/>
      <bottom style="thin"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/>
      <top/>
      <bottom style="double"/>
      <diagonal/>
    </border>
  </borders>
  <cellStyleXfs count="3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center" textRotation="0" wrapText="false" indent="0" shrinkToFit="false"/>
    </xf>
    <xf numFmtId="165" fontId="5" fillId="0" borderId="0" applyFont="true" applyBorder="false" applyAlignment="true" applyProtection="false">
      <alignment horizontal="general" vertical="center" textRotation="0" wrapText="false" indent="0" shrinkToFit="false"/>
    </xf>
    <xf numFmtId="166" fontId="5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false" applyAlignment="true" applyProtection="false">
      <alignment horizontal="general" vertical="center" textRotation="0" wrapText="false" indent="0" shrinkToFit="false"/>
    </xf>
    <xf numFmtId="168" fontId="5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12" fillId="0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2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3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4" fillId="4" borderId="4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5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6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7" xfId="28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8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8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2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28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2" fillId="0" borderId="7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9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2" fillId="0" borderId="10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2" fillId="0" borderId="11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1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2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2" fillId="3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28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3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3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3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9" fillId="3" borderId="1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9" fillId="3" borderId="2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1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13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3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9" fillId="3" borderId="2" xfId="2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2" xfId="2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0" xfId="28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22" fillId="3" borderId="0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28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12" fillId="3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2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28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2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4" fillId="5" borderId="4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5" borderId="1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4" fillId="5" borderId="14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5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5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5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6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3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3" borderId="7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3" borderId="16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3" borderId="8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3" borderId="8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9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8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2" fillId="3" borderId="10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3" borderId="17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3" borderId="1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3" borderId="11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1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2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2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3" borderId="2" xfId="28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3" borderId="2" xfId="2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3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4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5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5" xfId="2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15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8" xfId="2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3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9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3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4" borderId="17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11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2" fillId="3" borderId="0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0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9" fillId="3" borderId="0" xfId="2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3" fillId="3" borderId="0" xfId="2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0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2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28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2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0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3" borderId="21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42" fillId="3" borderId="22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3" borderId="23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40" fillId="3" borderId="2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40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25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3" borderId="26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3" borderId="2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3" borderId="27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3" borderId="27" xfId="2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3" borderId="28" xfId="2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3" borderId="1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2" fillId="3" borderId="13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0" fillId="3" borderId="29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2" fillId="3" borderId="29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3" borderId="25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" borderId="2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13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29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3" borderId="30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3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32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33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4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4" borderId="35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4" borderId="36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4" borderId="3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4" borderId="36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4" borderId="36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3" fillId="4" borderId="37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0" fillId="0" borderId="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38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39" xfId="28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3" borderId="27" xfId="28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3" borderId="40" xfId="28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2" fillId="6" borderId="0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1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4" borderId="42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1" xfId="28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3" borderId="13" xfId="28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3" borderId="3" xfId="28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2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3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6" borderId="0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1" fillId="3" borderId="44" xfId="28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3" borderId="45" xfId="28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3" borderId="46" xfId="28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0" fillId="6" borderId="47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4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9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4" borderId="38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3" borderId="39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3" borderId="27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40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6" borderId="26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4" borderId="42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3" borderId="1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13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3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6" borderId="2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3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6" borderId="2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50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51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52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6" borderId="53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53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4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55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55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5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2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5" fillId="0" borderId="2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2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43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2" xfId="28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0" borderId="2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0" fillId="0" borderId="2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7" fontId="40" fillId="0" borderId="43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3" fillId="4" borderId="57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0" borderId="48" xfId="28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0" borderId="48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48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49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0" borderId="0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3" borderId="58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0" fillId="0" borderId="22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22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42" fillId="3" borderId="24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3" borderId="59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3" borderId="26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4" fillId="4" borderId="6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61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4" borderId="61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4" borderId="61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4" borderId="61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3" fillId="4" borderId="62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2" fillId="6" borderId="51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2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3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9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1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3" xfId="2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53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54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55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5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2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43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2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3" borderId="25" xfId="2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3" borderId="26" xfId="2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3" borderId="2" xfId="2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3" borderId="27" xfId="2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3" borderId="27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3" borderId="28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3" borderId="1" xfId="2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2" fillId="3" borderId="13" xfId="2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0" fillId="3" borderId="29" xfId="2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40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29" xfId="2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3" borderId="25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" borderId="2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13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29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3" borderId="30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31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32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33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4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4" borderId="60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63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4" borderId="63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4" borderId="63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4" borderId="63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3" fillId="4" borderId="64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0" fillId="0" borderId="0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38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1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3" borderId="13" xfId="29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3" borderId="3" xfId="29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2" fillId="6" borderId="51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2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3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4" borderId="42" xfId="2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6" borderId="0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6" borderId="0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7" fillId="0" borderId="0" xfId="2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1" fillId="3" borderId="44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3" borderId="45" xfId="29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3" borderId="46" xfId="29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0" fillId="6" borderId="47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48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9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4" borderId="38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3" borderId="39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3" borderId="27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40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6" borderId="26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6" fillId="0" borderId="26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1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4" borderId="42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3" borderId="1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13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3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6" borderId="2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3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6" borderId="2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50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51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3" borderId="52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6" borderId="53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6" fillId="0" borderId="53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54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55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8" fillId="0" borderId="55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56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4" borderId="65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0" borderId="2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5" fillId="0" borderId="2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8" fillId="0" borderId="2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43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2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0" borderId="2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0" fillId="0" borderId="2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7" fontId="40" fillId="0" borderId="43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3" fillId="4" borderId="66" xfId="2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0" borderId="48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0" borderId="48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48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49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4" borderId="63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4" borderId="63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4" borderId="63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4" borderId="63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3" fillId="4" borderId="64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1" fillId="3" borderId="1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4" borderId="65" xfId="2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3" fillId="4" borderId="66" xfId="28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/>
    <cellStyle name="Comma" xfId="21"/>
    <cellStyle name="Comma [0]" xfId="22"/>
    <cellStyle name="Currency" xfId="23"/>
    <cellStyle name="Currency [0]" xfId="24"/>
    <cellStyle name="Normal_Functional Test Case v1.0" xfId="25"/>
    <cellStyle name="Normal_Sheet1" xfId="26"/>
    <cellStyle name="Normal_Sheet1_Template_UnitTest Case_v0.9" xfId="27"/>
    <cellStyle name="Normal_Template_UnitTest Case_v0.9" xfId="28"/>
    <cellStyle name="Normal_Template_UnitTest Case_v0.9_Template_UnitTest Case_v0.9" xfId="29"/>
    <cellStyle name="Percent" xfId="30"/>
    <cellStyle name="標準_結合試験(AllOvertheWorld)" xfId="3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00" b="1" u="none" strike="noStrike">
                <a:solidFill>
                  <a:srgbClr val="000000"/>
                </a:solidFill>
                <a:uFillTx/>
                <a:latin typeface="ＭＳ Ｐゴシック"/>
                <a:ea typeface="ＭＳ Ｐゴシック"/>
              </a:rPr>
              <a:t>Test Type</a:t>
            </a:r>
          </a:p>
        </c:rich>
      </c:tx>
      <c:layout>
        <c:manualLayout>
          <c:xMode val="edge"/>
          <c:yMode val="edge"/>
          <c:x val="0.419939577039275"/>
          <c:y val="0.050696378830083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6409149762624"/>
          <c:y val="0.278690807799443"/>
          <c:w val="0.408610271903323"/>
          <c:h val="0.603621169916435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ＭＳ Ｐゴシック"/>
                    <a:ea typeface="ＭＳ Ｐゴシック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19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ＭＳ Ｐゴシック"/>
                    <a:ea typeface="ＭＳ Ｐゴシック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Report'!$F$16:$H$16</c:f>
              <c:numCache>
                <c:formatCode>General</c:formatCode>
                <c:ptCount val="3"/>
              </c:numCache>
            </c:numRef>
          </c:val>
        </c:ser>
        <c:ser>
          <c:idx val="2"/>
          <c:order val="2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explosion val="0"/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</c:ser>
        <c:ser>
          <c:idx val="3"/>
          <c:order val="3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explosion val="0"/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</c:ser>
        <c:ser>
          <c:idx val="4"/>
          <c:order val="4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ＭＳ Ｐゴシック"/>
                    <a:ea typeface="ＭＳ Ｐゴシック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19</c:v>
                </c:pt>
              </c:numCache>
            </c:numRef>
          </c:val>
        </c:ser>
        <c:firstSliceAng val="0"/>
      </c:pieChart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789973274352594"/>
          <c:y val="0.394736842105263"/>
          <c:w val="0.0812828310754769"/>
          <c:h val="0.306101792943898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690" b="0" u="none" strike="noStrike">
              <a:solidFill>
                <a:srgbClr val="000000"/>
              </a:solidFill>
              <a:uFillTx/>
              <a:latin typeface="ＭＳ Ｐゴシック"/>
              <a:ea typeface="ＭＳ Ｐゴシック"/>
            </a:defRPr>
          </a:pPr>
        </a:p>
      </c:txPr>
    </c:legend>
    <c:plotVisOnly val="1"/>
    <c:dispBlanksAs val="zero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100" b="1" u="none" strike="noStrike">
                <a:solidFill>
                  <a:srgbClr val="000000"/>
                </a:solidFill>
                <a:uFillTx/>
                <a:latin typeface="ＭＳ Ｐゴシック"/>
                <a:ea typeface="ＭＳ Ｐゴシック"/>
              </a:rPr>
              <a:t>Passed Percent</a:t>
            </a:r>
          </a:p>
        </c:rich>
      </c:tx>
      <c:layout>
        <c:manualLayout>
          <c:xMode val="edge"/>
          <c:yMode val="edge"/>
          <c:x val="0.364746138906871"/>
          <c:y val="0.052012471655328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1850550263572"/>
          <c:y val="0.29265873015873"/>
          <c:w val="0.351521316933321"/>
          <c:h val="0.598214285714286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ＭＳ Ｐゴシック"/>
                    <a:ea typeface="ＭＳ Ｐゴシック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100" b="0" u="none" strike="noStrike">
                    <a:solidFill>
                      <a:srgbClr val="000000"/>
                    </a:solidFill>
                    <a:uFillTx/>
                    <a:latin typeface="ＭＳ Ｐゴシック"/>
                    <a:ea typeface="ＭＳ Ｐゴシック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Report'!$C$16:$E$16</c:f>
              <c:numCache>
                <c:formatCode>General</c:formatCode>
                <c:ptCount val="3"/>
              </c:numCache>
            </c:numRef>
          </c:val>
        </c:ser>
        <c:ser>
          <c:idx val="2"/>
          <c:order val="2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explosion val="0"/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</c:ser>
        <c:ser>
          <c:idx val="3"/>
          <c:order val="3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explosion val="0"/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</c:ser>
        <c:ser>
          <c:idx val="4"/>
          <c:order val="4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100" b="0" u="none" strike="noStrike">
                      <a:solidFill>
                        <a:srgbClr val="000000"/>
                      </a:solidFill>
                      <a:uFillTx/>
                      <a:latin typeface="ＭＳ Ｐゴシック"/>
                      <a:ea typeface="ＭＳ Ｐゴシック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100" b="0" u="none" strike="noStrike">
                    <a:solidFill>
                      <a:srgbClr val="000000"/>
                    </a:solidFill>
                    <a:uFillTx/>
                    <a:latin typeface="ＭＳ Ｐゴシック"/>
                    <a:ea typeface="ＭＳ Ｐゴシック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firstSliceAng val="0"/>
      </c:pieChart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772948426856958"/>
          <c:y val="0.422466960352423"/>
          <c:w val="0.183100875770354"/>
          <c:h val="0.290161527165932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850" b="0" u="none" strike="noStrike">
              <a:solidFill>
                <a:srgbClr val="000000"/>
              </a:solidFill>
              <a:uFillTx/>
              <a:latin typeface="ＭＳ Ｐゴシック"/>
              <a:ea typeface="ＭＳ Ｐゴシック"/>
            </a:defRPr>
          </a:pPr>
        </a:p>
      </c:txPr>
    </c:legend>
    <c:plotVisOnly val="1"/>
    <c:dispBlanksAs val="zero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1</xdr:row>
      <xdr:rowOff>127800</xdr:rowOff>
    </xdr:from>
    <xdr:to>
      <xdr:col>0</xdr:col>
      <xdr:colOff>1374480</xdr:colOff>
      <xdr:row>1</xdr:row>
      <xdr:rowOff>852480</xdr:rowOff>
    </xdr:to>
    <xdr:pic>
      <xdr:nvPicPr>
        <xdr:cNvPr id="1" name="/xl/media/image1.jpeg"/>
        <xdr:cNvPicPr/>
      </xdr:nvPicPr>
      <xdr:blipFill>
        <a:blip r:embed="rId1"/>
        <a:stretch/>
      </xdr:blipFill>
      <xdr:spPr>
        <a:xfrm>
          <a:off x="66600" y="299160"/>
          <a:ext cx="1307880" cy="72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5</xdr:col>
      <xdr:colOff>2533320</xdr:colOff>
      <xdr:row>44</xdr:row>
      <xdr:rowOff>161640</xdr:rowOff>
    </xdr:to>
    <xdr:sp>
      <xdr:nvSpPr>
        <xdr:cNvPr id="2" name="Text Box 2" hidden="1"/>
        <xdr:cNvSpPr/>
      </xdr:nvSpPr>
      <xdr:spPr>
        <a:xfrm>
          <a:off x="0" y="0"/>
          <a:ext cx="8941680" cy="9524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560160</xdr:colOff>
      <xdr:row>24</xdr:row>
      <xdr:rowOff>0</xdr:rowOff>
    </xdr:from>
    <xdr:to>
      <xdr:col>9</xdr:col>
      <xdr:colOff>2160</xdr:colOff>
      <xdr:row>39</xdr:row>
      <xdr:rowOff>12600</xdr:rowOff>
    </xdr:to>
    <xdr:graphicFrame>
      <xdr:nvGraphicFramePr>
        <xdr:cNvPr id="3" name="Chart"/>
        <xdr:cNvGraphicFramePr/>
      </xdr:nvGraphicFramePr>
      <xdr:xfrm>
        <a:off x="4332240" y="4326120"/>
        <a:ext cx="3336120" cy="258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119880</xdr:colOff>
      <xdr:row>24</xdr:row>
      <xdr:rowOff>25200</xdr:rowOff>
    </xdr:from>
    <xdr:to>
      <xdr:col>3</xdr:col>
      <xdr:colOff>240120</xdr:colOff>
      <xdr:row>38</xdr:row>
      <xdr:rowOff>164520</xdr:rowOff>
    </xdr:to>
    <xdr:graphicFrame>
      <xdr:nvGraphicFramePr>
        <xdr:cNvPr id="4" name="Chart"/>
        <xdr:cNvGraphicFramePr/>
      </xdr:nvGraphicFramePr>
      <xdr:xfrm>
        <a:off x="119880" y="4351320"/>
        <a:ext cx="3892320" cy="25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13</xdr:col>
      <xdr:colOff>399600</xdr:colOff>
      <xdr:row>48</xdr:row>
      <xdr:rowOff>75960</xdr:rowOff>
    </xdr:to>
    <xdr:sp>
      <xdr:nvSpPr>
        <xdr:cNvPr id="5" name="Text Box 3" hidden="1"/>
        <xdr:cNvSpPr/>
      </xdr:nvSpPr>
      <xdr:spPr>
        <a:xfrm>
          <a:off x="0" y="0"/>
          <a:ext cx="8763840" cy="9524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13</xdr:col>
      <xdr:colOff>399600</xdr:colOff>
      <xdr:row>47</xdr:row>
      <xdr:rowOff>952200</xdr:rowOff>
    </xdr:to>
    <xdr:sp>
      <xdr:nvSpPr>
        <xdr:cNvPr id="6" name="Text Box 3" hidden="1"/>
        <xdr:cNvSpPr/>
      </xdr:nvSpPr>
      <xdr:spPr>
        <a:xfrm>
          <a:off x="0" y="0"/>
          <a:ext cx="8763840" cy="9524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25</xdr:col>
      <xdr:colOff>37800</xdr:colOff>
      <xdr:row>48</xdr:row>
      <xdr:rowOff>75960</xdr:rowOff>
    </xdr:to>
    <xdr:sp>
      <xdr:nvSpPr>
        <xdr:cNvPr id="7" name="Text Box 3" hidden="1"/>
        <xdr:cNvSpPr/>
      </xdr:nvSpPr>
      <xdr:spPr>
        <a:xfrm>
          <a:off x="0" y="0"/>
          <a:ext cx="8731080" cy="9524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24</xdr:col>
      <xdr:colOff>626760</xdr:colOff>
      <xdr:row>53</xdr:row>
      <xdr:rowOff>95040</xdr:rowOff>
    </xdr:to>
    <xdr:sp>
      <xdr:nvSpPr>
        <xdr:cNvPr id="8" name="Text Box 3" hidden="1"/>
        <xdr:cNvSpPr/>
      </xdr:nvSpPr>
      <xdr:spPr>
        <a:xfrm>
          <a:off x="0" y="0"/>
          <a:ext cx="8778960" cy="9524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1" width="119.37"/>
    <col collapsed="false" customWidth="false" hidden="false" outlineLevel="0" max="257" min="2" style="1" width="9"/>
  </cols>
  <sheetData>
    <row r="1" customFormat="false" ht="22.0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22.05" hidden="false" customHeight="fals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</row>
    <row r="3" customFormat="false" ht="17.35" hidden="false" customHeight="false" outlineLevel="0" collapsed="false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customFormat="false" ht="15" hidden="false" customHeight="true" outlineLevel="0" collapsed="false">
      <c r="A4" s="6" t="s">
        <v>2</v>
      </c>
    </row>
    <row r="5" customFormat="false" ht="15" hidden="false" customHeight="true" outlineLevel="0" collapsed="false">
      <c r="A5" s="7" t="s">
        <v>3</v>
      </c>
    </row>
    <row r="6" customFormat="false" ht="39.15" hidden="false" customHeight="false" outlineLevel="0" collapsed="false">
      <c r="A6" s="8" t="s">
        <v>4</v>
      </c>
    </row>
    <row r="7" customFormat="false" ht="29.25" hidden="false" customHeight="true" outlineLevel="0" collapsed="false">
      <c r="A7" s="8" t="s">
        <v>5</v>
      </c>
    </row>
    <row r="8" customFormat="false" ht="30" hidden="false" customHeight="true" outlineLevel="0" collapsed="false">
      <c r="A8" s="9" t="s">
        <v>6</v>
      </c>
    </row>
    <row r="9" customFormat="false" ht="16.5" hidden="false" customHeight="true" outlineLevel="0" collapsed="false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</row>
    <row r="10" customFormat="false" ht="16.5" hidden="false" customHeight="true" outlineLevel="0" collapsed="false">
      <c r="A10" s="12"/>
    </row>
    <row r="11" customFormat="false" ht="17.35" hidden="false" customHeight="false" outlineLevel="0" collapsed="false">
      <c r="A11" s="4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customFormat="false" ht="15" hidden="false" customHeight="false" outlineLevel="0" collapsed="false">
      <c r="A12" s="13" t="s">
        <v>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</row>
    <row r="13" customFormat="false" ht="39.15" hidden="false" customHeight="false" outlineLevel="0" collapsed="false">
      <c r="A13" s="6" t="s">
        <v>10</v>
      </c>
    </row>
    <row r="14" customFormat="false" ht="14.25" hidden="false" customHeight="false" outlineLevel="0" collapsed="false">
      <c r="A14" s="6" t="s">
        <v>11</v>
      </c>
    </row>
    <row r="15" customFormat="false" ht="26.5" hidden="false" customHeight="false" outlineLevel="0" collapsed="false">
      <c r="A15" s="15" t="s">
        <v>12</v>
      </c>
    </row>
    <row r="16" customFormat="false" ht="14.25" hidden="false" customHeight="false" outlineLevel="0" collapsed="false">
      <c r="A16" s="12"/>
    </row>
    <row r="17" customFormat="false" ht="15" hidden="false" customHeight="false" outlineLevel="0" collapsed="false">
      <c r="A17" s="13" t="s">
        <v>13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</row>
    <row r="18" customFormat="false" ht="14.25" hidden="false" customHeight="false" outlineLevel="0" collapsed="false">
      <c r="A18" s="6" t="s">
        <v>14</v>
      </c>
      <c r="B18" s="12"/>
    </row>
    <row r="19" customFormat="false" ht="14.25" hidden="false" customHeight="false" outlineLevel="0" collapsed="false">
      <c r="A19" s="13" t="s">
        <v>15</v>
      </c>
    </row>
    <row r="20" customFormat="false" ht="14.25" hidden="false" customHeight="false" outlineLevel="0" collapsed="false">
      <c r="A20" s="6" t="s">
        <v>16</v>
      </c>
      <c r="B20" s="12"/>
    </row>
    <row r="21" customFormat="false" ht="26.5" hidden="false" customHeight="false" outlineLevel="0" collapsed="false">
      <c r="A21" s="15" t="s">
        <v>17</v>
      </c>
    </row>
    <row r="22" customFormat="false" ht="14.25" hidden="false" customHeight="false" outlineLevel="0" collapsed="false">
      <c r="A22" s="6" t="s">
        <v>18</v>
      </c>
      <c r="B22" s="12"/>
    </row>
    <row r="23" customFormat="false" ht="14.25" hidden="false" customHeight="false" outlineLevel="0" collapsed="false">
      <c r="A23" s="6" t="s">
        <v>19</v>
      </c>
      <c r="B23" s="12"/>
    </row>
    <row r="24" customFormat="false" ht="14.25" hidden="false" customHeight="false" outlineLevel="0" collapsed="false">
      <c r="A24" s="6" t="s">
        <v>20</v>
      </c>
      <c r="B24" s="12"/>
    </row>
    <row r="25" customFormat="false" ht="14.25" hidden="false" customHeight="false" outlineLevel="0" collapsed="false">
      <c r="A25" s="6" t="s">
        <v>21</v>
      </c>
      <c r="B25" s="12"/>
      <c r="C25" s="12" t="s">
        <v>22</v>
      </c>
      <c r="D25" s="12" t="s">
        <v>22</v>
      </c>
    </row>
    <row r="26" customFormat="false" ht="14.25" hidden="false" customHeight="false" outlineLevel="0" collapsed="false">
      <c r="A26" s="6" t="s">
        <v>23</v>
      </c>
    </row>
    <row r="27" customFormat="false" ht="14.25" hidden="false" customHeight="false" outlineLevel="0" collapsed="false">
      <c r="A27" s="6" t="s">
        <v>24</v>
      </c>
      <c r="B27" s="12"/>
    </row>
    <row r="28" customFormat="false" ht="14.25" hidden="false" customHeight="false" outlineLevel="0" collapsed="false">
      <c r="A28" s="6" t="s">
        <v>25</v>
      </c>
    </row>
    <row r="29" customFormat="false" ht="14.25" hidden="false" customHeight="false" outlineLevel="0" collapsed="false">
      <c r="A29" s="6" t="s">
        <v>26</v>
      </c>
    </row>
    <row r="30" customFormat="false" ht="14.25" hidden="false" customHeight="false" outlineLevel="0" collapsed="false">
      <c r="A30" s="6" t="s">
        <v>27</v>
      </c>
      <c r="B30" s="12"/>
      <c r="C30" s="12" t="s">
        <v>22</v>
      </c>
    </row>
    <row r="31" customFormat="false" ht="14.25" hidden="false" customHeight="false" outlineLevel="0" collapsed="false">
      <c r="A31" s="13" t="s">
        <v>28</v>
      </c>
    </row>
    <row r="32" customFormat="false" ht="30" hidden="false" customHeight="true" outlineLevel="0" collapsed="false">
      <c r="A32" s="15" t="s">
        <v>29</v>
      </c>
    </row>
    <row r="33" customFormat="false" ht="14.25" hidden="false" customHeight="false" outlineLevel="0" collapsed="false">
      <c r="A33" s="6" t="s">
        <v>30</v>
      </c>
    </row>
    <row r="34" customFormat="false" ht="14.25" hidden="false" customHeight="false" outlineLevel="0" collapsed="false">
      <c r="A34" s="6" t="s">
        <v>31</v>
      </c>
    </row>
    <row r="35" customFormat="false" ht="14.25" hidden="false" customHeight="false" outlineLevel="0" collapsed="false">
      <c r="A35" s="6" t="s">
        <v>32</v>
      </c>
      <c r="B35" s="12"/>
    </row>
    <row r="36" customFormat="false" ht="14.25" hidden="false" customHeight="false" outlineLevel="0" collapsed="false">
      <c r="A36" s="6" t="s">
        <v>33</v>
      </c>
      <c r="B36" s="12"/>
    </row>
    <row r="37" customFormat="false" ht="14.25" hidden="false" customHeight="false" outlineLevel="0" collapsed="false">
      <c r="A37" s="13" t="s">
        <v>34</v>
      </c>
    </row>
    <row r="38" customFormat="false" ht="14.25" hidden="false" customHeight="false" outlineLevel="0" collapsed="false">
      <c r="A38" s="6" t="s">
        <v>35</v>
      </c>
    </row>
    <row r="39" customFormat="false" ht="39.15" hidden="false" customHeight="false" outlineLevel="0" collapsed="false">
      <c r="A39" s="9" t="s">
        <v>36</v>
      </c>
      <c r="B39" s="12"/>
    </row>
    <row r="40" customFormat="false" ht="14.25" hidden="false" customHeight="false" outlineLevel="0" collapsed="false">
      <c r="A40" s="9"/>
      <c r="B40" s="12"/>
    </row>
    <row r="41" customFormat="false" ht="15" hidden="false" customHeight="false" outlineLevel="0" collapsed="false">
      <c r="A41" s="13" t="s">
        <v>37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</row>
    <row r="42" customFormat="false" ht="14.25" hidden="false" customHeight="false" outlineLevel="0" collapsed="false">
      <c r="A42" s="6" t="s">
        <v>38</v>
      </c>
    </row>
    <row r="43" customFormat="false" ht="14.25" hidden="false" customHeight="false" outlineLevel="0" collapsed="false">
      <c r="A43" s="6" t="s">
        <v>39</v>
      </c>
    </row>
    <row r="44" customFormat="false" ht="14.25" hidden="false" customHeight="false" outlineLevel="0" collapsed="false">
      <c r="A44" s="6" t="s">
        <v>40</v>
      </c>
    </row>
    <row r="45" customFormat="false" ht="14.25" hidden="false" customHeight="false" outlineLevel="0" collapsed="false">
      <c r="A45" s="6" t="s">
        <v>41</v>
      </c>
    </row>
    <row r="46" customFormat="false" ht="14.25" hidden="false" customHeight="false" outlineLevel="0" collapsed="false">
      <c r="A46" s="6" t="s">
        <v>42</v>
      </c>
    </row>
    <row r="47" customFormat="false" ht="14.25" hidden="false" customHeight="false" outlineLevel="0" collapsed="false">
      <c r="A47" s="6" t="s">
        <v>43</v>
      </c>
    </row>
    <row r="48" customFormat="false" ht="14.25" hidden="false" customHeight="false" outlineLevel="0" collapsed="false">
      <c r="A48" s="12" t="s">
        <v>44</v>
      </c>
    </row>
    <row r="49" customFormat="false" ht="14.25" hidden="false" customHeight="false" outlineLevel="0" collapsed="false">
      <c r="A49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6" width="21.37"/>
    <col collapsed="false" customWidth="true" hidden="false" outlineLevel="0" max="2" min="2" style="17" width="10"/>
    <col collapsed="false" customWidth="true" hidden="false" outlineLevel="0" max="3" min="3" style="17" width="14.37"/>
    <col collapsed="false" customWidth="true" hidden="false" outlineLevel="0" max="4" min="4" style="17" width="8"/>
    <col collapsed="false" customWidth="true" hidden="false" outlineLevel="0" max="5" min="5" style="17" width="38"/>
    <col collapsed="false" customWidth="true" hidden="false" outlineLevel="0" max="6" min="6" style="17" width="48.13"/>
    <col collapsed="false" customWidth="false" hidden="false" outlineLevel="0" max="257" min="7" style="17" width="9"/>
  </cols>
  <sheetData>
    <row r="2" customFormat="false" ht="75.75" hidden="false" customHeight="true" outlineLevel="0" collapsed="false">
      <c r="A2" s="18"/>
      <c r="B2" s="19" t="s">
        <v>45</v>
      </c>
      <c r="C2" s="19"/>
      <c r="D2" s="19"/>
      <c r="E2" s="19"/>
      <c r="F2" s="19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13.5" hidden="false" customHeight="false" outlineLevel="0" collapsed="false">
      <c r="A3" s="21"/>
      <c r="B3" s="22"/>
      <c r="E3" s="23"/>
    </row>
    <row r="4" customFormat="false" ht="14.25" hidden="false" customHeight="true" outlineLevel="0" collapsed="false">
      <c r="A4" s="24" t="s">
        <v>46</v>
      </c>
      <c r="B4" s="25" t="s">
        <v>47</v>
      </c>
      <c r="C4" s="25"/>
      <c r="D4" s="25"/>
      <c r="E4" s="24" t="s">
        <v>48</v>
      </c>
      <c r="F4" s="26" t="s">
        <v>49</v>
      </c>
    </row>
    <row r="5" customFormat="false" ht="14.25" hidden="false" customHeight="true" outlineLevel="0" collapsed="false">
      <c r="A5" s="24" t="s">
        <v>50</v>
      </c>
      <c r="B5" s="25" t="s">
        <v>51</v>
      </c>
      <c r="C5" s="25"/>
      <c r="D5" s="25"/>
      <c r="E5" s="24" t="s">
        <v>52</v>
      </c>
      <c r="F5" s="26" t="s">
        <v>53</v>
      </c>
    </row>
    <row r="6" customFormat="false" ht="15.75" hidden="false" customHeight="true" outlineLevel="0" collapsed="false">
      <c r="A6" s="27" t="s">
        <v>54</v>
      </c>
      <c r="B6" s="28" t="s">
        <v>55</v>
      </c>
      <c r="C6" s="28"/>
      <c r="D6" s="28"/>
      <c r="E6" s="24" t="s">
        <v>56</v>
      </c>
      <c r="F6" s="29" t="s">
        <v>57</v>
      </c>
    </row>
    <row r="7" customFormat="false" ht="13.5" hidden="false" customHeight="true" outlineLevel="0" collapsed="false">
      <c r="A7" s="27"/>
      <c r="B7" s="28"/>
      <c r="C7" s="28"/>
      <c r="D7" s="28"/>
      <c r="E7" s="24" t="s">
        <v>58</v>
      </c>
      <c r="F7" s="30" t="s">
        <v>59</v>
      </c>
    </row>
    <row r="8" customFormat="false" ht="13.5" hidden="false" customHeight="false" outlineLevel="0" collapsed="false">
      <c r="A8" s="31"/>
      <c r="B8" s="32"/>
      <c r="C8" s="33"/>
      <c r="D8" s="33"/>
      <c r="E8" s="34"/>
      <c r="F8" s="32"/>
    </row>
    <row r="9" customFormat="false" ht="13.5" hidden="false" customHeight="false" outlineLevel="0" collapsed="false">
      <c r="A9" s="17"/>
      <c r="B9" s="35"/>
      <c r="C9" s="35"/>
      <c r="D9" s="35"/>
      <c r="E9" s="35"/>
    </row>
    <row r="10" customFormat="false" ht="13.5" hidden="false" customHeight="false" outlineLevel="0" collapsed="false">
      <c r="A10" s="36" t="s">
        <v>60</v>
      </c>
    </row>
    <row r="11" customFormat="false" ht="13.5" hidden="false" customHeight="false" outlineLevel="0" collapsed="false">
      <c r="A11" s="37" t="s">
        <v>61</v>
      </c>
      <c r="B11" s="38" t="s">
        <v>58</v>
      </c>
      <c r="C11" s="38" t="s">
        <v>62</v>
      </c>
      <c r="D11" s="38" t="s">
        <v>63</v>
      </c>
      <c r="E11" s="38" t="s">
        <v>64</v>
      </c>
      <c r="F11" s="39" t="s">
        <v>65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</row>
    <row r="12" customFormat="false" ht="48" hidden="false" customHeight="true" outlineLevel="0" collapsed="false">
      <c r="A12" s="41" t="s">
        <v>57</v>
      </c>
      <c r="B12" s="42" t="s">
        <v>59</v>
      </c>
      <c r="C12" s="43" t="s">
        <v>66</v>
      </c>
      <c r="D12" s="43" t="s">
        <v>67</v>
      </c>
      <c r="E12" s="44" t="s">
        <v>68</v>
      </c>
      <c r="F12" s="45" t="s">
        <v>69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</row>
    <row r="13" customFormat="false" ht="21.75" hidden="false" customHeight="true" outlineLevel="0" collapsed="false">
      <c r="A13" s="47"/>
      <c r="B13" s="42"/>
      <c r="C13" s="43"/>
      <c r="D13" s="43"/>
      <c r="E13" s="43"/>
      <c r="F13" s="48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</row>
    <row r="14" customFormat="false" ht="19.5" hidden="false" customHeight="true" outlineLevel="0" collapsed="false">
      <c r="A14" s="47"/>
      <c r="B14" s="42"/>
      <c r="C14" s="43"/>
      <c r="D14" s="43"/>
      <c r="E14" s="43"/>
      <c r="F14" s="48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</row>
    <row r="15" customFormat="false" ht="21.75" hidden="false" customHeight="true" outlineLevel="0" collapsed="false">
      <c r="A15" s="47"/>
      <c r="B15" s="42"/>
      <c r="C15" s="43"/>
      <c r="D15" s="43"/>
      <c r="E15" s="43"/>
      <c r="F15" s="48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</row>
    <row r="16" customFormat="false" ht="19.5" hidden="false" customHeight="true" outlineLevel="0" collapsed="false">
      <c r="A16" s="47"/>
      <c r="B16" s="42"/>
      <c r="C16" s="43"/>
      <c r="D16" s="43"/>
      <c r="E16" s="43"/>
      <c r="F16" s="48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</row>
    <row r="17" customFormat="false" ht="21.75" hidden="false" customHeight="true" outlineLevel="0" collapsed="false">
      <c r="A17" s="47"/>
      <c r="B17" s="42"/>
      <c r="C17" s="43"/>
      <c r="D17" s="43"/>
      <c r="E17" s="43"/>
      <c r="F17" s="48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</row>
    <row r="18" customFormat="false" ht="19.5" hidden="false" customHeight="true" outlineLevel="0" collapsed="false">
      <c r="A18" s="49"/>
      <c r="B18" s="50"/>
      <c r="C18" s="51"/>
      <c r="D18" s="51"/>
      <c r="E18" s="51"/>
      <c r="F18" s="52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</row>
  </sheetData>
  <mergeCells count="5">
    <mergeCell ref="B2:F2"/>
    <mergeCell ref="B4:D4"/>
    <mergeCell ref="B5:D5"/>
    <mergeCell ref="A6:A7"/>
    <mergeCell ref="B6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53" width="7.13"/>
    <col collapsed="false" customWidth="true" hidden="false" outlineLevel="0" max="2" min="2" style="53" width="14.87"/>
    <col collapsed="false" customWidth="true" hidden="false" outlineLevel="0" max="3" min="3" style="53" width="9.87"/>
    <col collapsed="false" customWidth="true" hidden="false" outlineLevel="0" max="4" min="4" style="54" width="12.37"/>
    <col collapsed="false" customWidth="true" hidden="false" outlineLevel="0" max="5" min="5" style="55" width="21"/>
    <col collapsed="false" customWidth="true" hidden="false" outlineLevel="0" max="6" min="6" style="54" width="12.37"/>
    <col collapsed="false" customWidth="true" hidden="false" outlineLevel="0" max="7" min="7" style="54" width="22.5"/>
    <col collapsed="false" customWidth="true" hidden="false" outlineLevel="0" max="8" min="8" style="54" width="33.87"/>
    <col collapsed="false" customWidth="false" hidden="false" outlineLevel="0" max="257" min="9" style="23" width="9"/>
  </cols>
  <sheetData>
    <row r="2" customFormat="false" ht="24.45" hidden="false" customHeight="false" outlineLevel="0" collapsed="false">
      <c r="E2" s="56" t="s">
        <v>70</v>
      </c>
      <c r="F2" s="56"/>
      <c r="G2" s="57"/>
    </row>
    <row r="3" customFormat="false" ht="13.5" hidden="false" customHeight="true" outlineLevel="0" collapsed="false">
      <c r="F3" s="58"/>
      <c r="G3" s="58"/>
    </row>
    <row r="4" customFormat="false" ht="14.25" hidden="false" customHeight="true" outlineLevel="0" collapsed="false">
      <c r="A4" s="59" t="s">
        <v>46</v>
      </c>
      <c r="B4" s="59"/>
      <c r="C4" s="59"/>
      <c r="D4" s="59"/>
      <c r="E4" s="60" t="str">
        <f aca="false">Cover!B4</f>
        <v>Date Time Checker</v>
      </c>
      <c r="F4" s="60"/>
      <c r="G4" s="60"/>
      <c r="H4" s="60"/>
    </row>
    <row r="5" customFormat="false" ht="14.25" hidden="false" customHeight="true" outlineLevel="0" collapsed="false">
      <c r="A5" s="59" t="s">
        <v>50</v>
      </c>
      <c r="B5" s="59"/>
      <c r="C5" s="59"/>
      <c r="D5" s="59"/>
      <c r="E5" s="60" t="str">
        <f aca="false">Cover!B5</f>
        <v>FU-SWT</v>
      </c>
      <c r="F5" s="60"/>
      <c r="G5" s="60"/>
      <c r="H5" s="60"/>
    </row>
    <row r="6" customFormat="false" ht="14.25" hidden="false" customHeight="true" outlineLevel="0" collapsed="false">
      <c r="A6" s="61" t="s">
        <v>71</v>
      </c>
      <c r="B6" s="61"/>
      <c r="C6" s="61"/>
      <c r="D6" s="61"/>
      <c r="E6" s="62" t="s">
        <v>72</v>
      </c>
      <c r="F6" s="63"/>
      <c r="G6" s="63"/>
      <c r="H6" s="64"/>
    </row>
    <row r="7" customFormat="false" ht="12.75" hidden="false" customHeight="true" outlineLevel="0" collapsed="false">
      <c r="A7" s="65" t="s">
        <v>73</v>
      </c>
      <c r="B7" s="65"/>
      <c r="C7" s="65"/>
      <c r="D7" s="65"/>
      <c r="E7" s="66" t="s">
        <v>74</v>
      </c>
      <c r="F7" s="66"/>
      <c r="G7" s="66"/>
      <c r="H7" s="66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  <c r="FO7" s="67"/>
      <c r="FP7" s="67"/>
      <c r="FQ7" s="67"/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  <c r="GD7" s="67"/>
      <c r="GE7" s="67"/>
      <c r="GF7" s="67"/>
      <c r="GG7" s="67"/>
      <c r="GH7" s="67"/>
      <c r="GI7" s="67"/>
      <c r="GJ7" s="67"/>
      <c r="GK7" s="67"/>
      <c r="GL7" s="67"/>
      <c r="GM7" s="67"/>
      <c r="GN7" s="67"/>
      <c r="GO7" s="67"/>
      <c r="GP7" s="67"/>
      <c r="GQ7" s="67"/>
      <c r="GR7" s="67"/>
      <c r="GS7" s="67"/>
      <c r="GT7" s="67"/>
      <c r="GU7" s="67"/>
      <c r="GV7" s="67"/>
      <c r="GW7" s="67"/>
      <c r="GX7" s="67"/>
      <c r="GY7" s="67"/>
      <c r="GZ7" s="67"/>
      <c r="HA7" s="67"/>
      <c r="HB7" s="67"/>
      <c r="HC7" s="67"/>
      <c r="HD7" s="67"/>
      <c r="HE7" s="67"/>
      <c r="HF7" s="67"/>
      <c r="HG7" s="67"/>
      <c r="HH7" s="67"/>
      <c r="HI7" s="67"/>
      <c r="HJ7" s="67"/>
      <c r="HK7" s="67"/>
      <c r="HL7" s="67"/>
      <c r="HM7" s="67"/>
      <c r="HN7" s="67"/>
      <c r="HO7" s="67"/>
      <c r="HP7" s="67"/>
      <c r="HQ7" s="67"/>
      <c r="HR7" s="67"/>
      <c r="HS7" s="67"/>
      <c r="HT7" s="67"/>
      <c r="HU7" s="67"/>
      <c r="HV7" s="67"/>
      <c r="HW7" s="67"/>
      <c r="HX7" s="67"/>
      <c r="HY7" s="67"/>
      <c r="HZ7" s="67"/>
      <c r="IA7" s="67"/>
      <c r="IB7" s="67"/>
      <c r="IC7" s="67"/>
      <c r="ID7" s="67"/>
      <c r="IE7" s="67"/>
      <c r="IF7" s="67"/>
      <c r="IG7" s="67"/>
      <c r="IH7" s="67"/>
      <c r="II7" s="67"/>
      <c r="IJ7" s="67"/>
      <c r="IK7" s="67"/>
      <c r="IL7" s="67"/>
      <c r="IM7" s="67"/>
      <c r="IN7" s="67"/>
      <c r="IO7" s="67"/>
      <c r="IP7" s="67"/>
      <c r="IQ7" s="67"/>
      <c r="IR7" s="67"/>
      <c r="IS7" s="67"/>
      <c r="IT7" s="67"/>
      <c r="IU7" s="67"/>
      <c r="IV7" s="67"/>
      <c r="IW7" s="67"/>
    </row>
    <row r="8" customFormat="false" ht="13.5" hidden="false" customHeight="false" outlineLevel="0" collapsed="false">
      <c r="A8" s="68"/>
      <c r="B8" s="68"/>
      <c r="C8" s="68"/>
      <c r="D8" s="69"/>
      <c r="E8" s="70"/>
      <c r="F8" s="69"/>
      <c r="G8" s="69"/>
      <c r="H8" s="69"/>
    </row>
    <row r="9" customFormat="false" ht="13.5" hidden="false" customHeight="false" outlineLevel="0" collapsed="false">
      <c r="A9" s="71"/>
      <c r="B9" s="71"/>
      <c r="C9" s="71"/>
      <c r="D9" s="72"/>
      <c r="E9" s="73"/>
      <c r="F9" s="72"/>
      <c r="G9" s="72"/>
      <c r="H9" s="72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4"/>
      <c r="DX9" s="74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74"/>
      <c r="ER9" s="74"/>
      <c r="ES9" s="74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74"/>
      <c r="FM9" s="74"/>
      <c r="FN9" s="74"/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74"/>
      <c r="GH9" s="74"/>
      <c r="GI9" s="74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74"/>
      <c r="HC9" s="74"/>
      <c r="HD9" s="74"/>
      <c r="HE9" s="74"/>
      <c r="HF9" s="74"/>
      <c r="HG9" s="74"/>
      <c r="HH9" s="74"/>
      <c r="HI9" s="74"/>
      <c r="HJ9" s="74"/>
      <c r="HK9" s="74"/>
      <c r="HL9" s="74"/>
      <c r="HM9" s="74"/>
      <c r="HN9" s="74"/>
      <c r="HO9" s="74"/>
      <c r="HP9" s="74"/>
      <c r="HQ9" s="74"/>
      <c r="HR9" s="74"/>
      <c r="HS9" s="74"/>
      <c r="HT9" s="74"/>
      <c r="HU9" s="74"/>
      <c r="HV9" s="74"/>
      <c r="HW9" s="74"/>
      <c r="HX9" s="74"/>
      <c r="HY9" s="74"/>
      <c r="HZ9" s="74"/>
      <c r="IA9" s="74"/>
      <c r="IB9" s="74"/>
      <c r="IC9" s="74"/>
      <c r="ID9" s="74"/>
      <c r="IE9" s="74"/>
      <c r="IF9" s="74"/>
      <c r="IG9" s="74"/>
      <c r="IH9" s="74"/>
      <c r="II9" s="74"/>
      <c r="IJ9" s="74"/>
      <c r="IK9" s="74"/>
      <c r="IL9" s="74"/>
      <c r="IM9" s="74"/>
      <c r="IN9" s="74"/>
      <c r="IO9" s="74"/>
      <c r="IP9" s="74"/>
      <c r="IQ9" s="74"/>
      <c r="IR9" s="74"/>
      <c r="IS9" s="74"/>
      <c r="IT9" s="74"/>
      <c r="IU9" s="74"/>
      <c r="IV9" s="74"/>
      <c r="IW9" s="74"/>
    </row>
    <row r="10" customFormat="false" ht="24" hidden="false" customHeight="true" outlineLevel="0" collapsed="false">
      <c r="A10" s="75" t="s">
        <v>75</v>
      </c>
      <c r="B10" s="76" t="s">
        <v>76</v>
      </c>
      <c r="C10" s="77" t="s">
        <v>77</v>
      </c>
      <c r="D10" s="78" t="s">
        <v>78</v>
      </c>
      <c r="E10" s="79" t="s">
        <v>79</v>
      </c>
      <c r="F10" s="78" t="s">
        <v>80</v>
      </c>
      <c r="G10" s="80" t="s">
        <v>81</v>
      </c>
      <c r="H10" s="81" t="s">
        <v>82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  <c r="DK10" s="82"/>
      <c r="DL10" s="82"/>
      <c r="DM10" s="82"/>
      <c r="DN10" s="82"/>
      <c r="DO10" s="82"/>
      <c r="DP10" s="82"/>
      <c r="DQ10" s="82"/>
      <c r="DR10" s="82"/>
      <c r="DS10" s="82"/>
      <c r="DT10" s="82"/>
      <c r="DU10" s="82"/>
      <c r="DV10" s="82"/>
      <c r="DW10" s="82"/>
      <c r="DX10" s="82"/>
      <c r="DY10" s="82"/>
      <c r="DZ10" s="82"/>
      <c r="EA10" s="82"/>
      <c r="EB10" s="82"/>
      <c r="EC10" s="82"/>
      <c r="ED10" s="82"/>
      <c r="EE10" s="82"/>
      <c r="EF10" s="82"/>
      <c r="EG10" s="82"/>
      <c r="EH10" s="82"/>
      <c r="EI10" s="82"/>
      <c r="EJ10" s="82"/>
      <c r="EK10" s="82"/>
      <c r="EL10" s="82"/>
      <c r="EM10" s="82"/>
      <c r="EN10" s="82"/>
      <c r="EO10" s="82"/>
      <c r="EP10" s="82"/>
      <c r="EQ10" s="82"/>
      <c r="ER10" s="82"/>
      <c r="ES10" s="82"/>
      <c r="ET10" s="82"/>
      <c r="EU10" s="82"/>
      <c r="EV10" s="82"/>
      <c r="EW10" s="82"/>
      <c r="EX10" s="82"/>
      <c r="EY10" s="82"/>
      <c r="EZ10" s="82"/>
      <c r="FA10" s="82"/>
      <c r="FB10" s="82"/>
      <c r="FC10" s="82"/>
      <c r="FD10" s="82"/>
      <c r="FE10" s="82"/>
      <c r="FF10" s="82"/>
      <c r="FG10" s="82"/>
      <c r="FH10" s="82"/>
      <c r="FI10" s="82"/>
      <c r="FJ10" s="82"/>
      <c r="FK10" s="82"/>
      <c r="FL10" s="82"/>
      <c r="FM10" s="82"/>
      <c r="FN10" s="82"/>
      <c r="FO10" s="82"/>
      <c r="FP10" s="82"/>
      <c r="FQ10" s="82"/>
      <c r="FR10" s="82"/>
      <c r="FS10" s="82"/>
      <c r="FT10" s="82"/>
      <c r="FU10" s="82"/>
      <c r="FV10" s="82"/>
      <c r="FW10" s="82"/>
      <c r="FX10" s="82"/>
      <c r="FY10" s="82"/>
      <c r="FZ10" s="82"/>
      <c r="GA10" s="82"/>
      <c r="GB10" s="82"/>
      <c r="GC10" s="82"/>
      <c r="GD10" s="82"/>
      <c r="GE10" s="82"/>
      <c r="GF10" s="82"/>
      <c r="GG10" s="82"/>
      <c r="GH10" s="82"/>
      <c r="GI10" s="82"/>
      <c r="GJ10" s="82"/>
      <c r="GK10" s="82"/>
      <c r="GL10" s="82"/>
      <c r="GM10" s="82"/>
      <c r="GN10" s="82"/>
      <c r="GO10" s="82"/>
      <c r="GP10" s="82"/>
      <c r="GQ10" s="82"/>
      <c r="GR10" s="82"/>
      <c r="GS10" s="82"/>
      <c r="GT10" s="82"/>
      <c r="GU10" s="82"/>
      <c r="GV10" s="82"/>
      <c r="GW10" s="82"/>
      <c r="GX10" s="82"/>
      <c r="GY10" s="82"/>
      <c r="GZ10" s="82"/>
      <c r="HA10" s="82"/>
      <c r="HB10" s="82"/>
      <c r="HC10" s="82"/>
      <c r="HD10" s="82"/>
      <c r="HE10" s="82"/>
      <c r="HF10" s="82"/>
      <c r="HG10" s="82"/>
      <c r="HH10" s="82"/>
      <c r="HI10" s="82"/>
      <c r="HJ10" s="82"/>
      <c r="HK10" s="82"/>
      <c r="HL10" s="82"/>
      <c r="HM10" s="82"/>
      <c r="HN10" s="82"/>
      <c r="HO10" s="82"/>
      <c r="HP10" s="82"/>
      <c r="HQ10" s="82"/>
      <c r="HR10" s="82"/>
      <c r="HS10" s="82"/>
      <c r="HT10" s="82"/>
      <c r="HU10" s="82"/>
      <c r="HV10" s="82"/>
      <c r="HW10" s="82"/>
      <c r="HX10" s="82"/>
      <c r="HY10" s="82"/>
      <c r="HZ10" s="82"/>
      <c r="IA10" s="82"/>
      <c r="IB10" s="82"/>
      <c r="IC10" s="82"/>
      <c r="ID10" s="82"/>
      <c r="IE10" s="82"/>
      <c r="IF10" s="82"/>
      <c r="IG10" s="82"/>
      <c r="IH10" s="82"/>
      <c r="II10" s="82"/>
      <c r="IJ10" s="82"/>
      <c r="IK10" s="82"/>
      <c r="IL10" s="82"/>
      <c r="IM10" s="82"/>
      <c r="IN10" s="82"/>
      <c r="IO10" s="82"/>
      <c r="IP10" s="82"/>
      <c r="IQ10" s="82"/>
      <c r="IR10" s="82"/>
      <c r="IS10" s="82"/>
      <c r="IT10" s="82"/>
      <c r="IU10" s="82"/>
      <c r="IV10" s="82"/>
      <c r="IW10" s="82"/>
    </row>
    <row r="11" customFormat="false" ht="57.75" hidden="false" customHeight="true" outlineLevel="0" collapsed="false">
      <c r="A11" s="83" t="n">
        <v>1</v>
      </c>
      <c r="B11" s="84" t="s">
        <v>83</v>
      </c>
      <c r="C11" s="84" t="s">
        <v>84</v>
      </c>
      <c r="D11" s="85" t="s">
        <v>85</v>
      </c>
      <c r="E11" s="85" t="s">
        <v>86</v>
      </c>
      <c r="F11" s="86" t="str">
        <f aca="false">HYPERLINK("#'CheckDate'!A1","CheckDate")</f>
        <v>CheckDate</v>
      </c>
      <c r="G11" s="87" t="s">
        <v>87</v>
      </c>
      <c r="H11" s="88" t="s">
        <v>88</v>
      </c>
    </row>
    <row r="12" customFormat="false" ht="57.75" hidden="false" customHeight="true" outlineLevel="0" collapsed="false">
      <c r="A12" s="83" t="n">
        <v>2</v>
      </c>
      <c r="B12" s="84" t="s">
        <v>89</v>
      </c>
      <c r="C12" s="84" t="s">
        <v>84</v>
      </c>
      <c r="D12" s="85" t="s">
        <v>90</v>
      </c>
      <c r="E12" s="85" t="s">
        <v>91</v>
      </c>
      <c r="F12" s="86" t="str">
        <f aca="false">HYPERLINK("#'DayInMonth'!A1","DayInMonth")</f>
        <v>DayInMonth</v>
      </c>
      <c r="G12" s="87" t="s">
        <v>92</v>
      </c>
      <c r="H12" s="88" t="s">
        <v>93</v>
      </c>
    </row>
    <row r="13" customFormat="false" ht="13.5" hidden="false" customHeight="false" outlineLevel="0" collapsed="false">
      <c r="A13" s="89"/>
      <c r="B13" s="90"/>
      <c r="C13" s="90"/>
      <c r="D13" s="91"/>
      <c r="E13" s="92"/>
      <c r="F13" s="93"/>
      <c r="G13" s="93"/>
      <c r="H13" s="94"/>
    </row>
    <row r="14" customFormat="false" ht="13.5" hidden="false" customHeight="false" outlineLevel="0" collapsed="false">
      <c r="A14" s="89"/>
      <c r="B14" s="90"/>
      <c r="C14" s="90"/>
      <c r="D14" s="91"/>
      <c r="E14" s="92"/>
      <c r="F14" s="93"/>
      <c r="G14" s="93"/>
      <c r="H14" s="94"/>
    </row>
    <row r="15" customFormat="false" ht="13.5" hidden="false" customHeight="false" outlineLevel="0" collapsed="false">
      <c r="A15" s="89"/>
      <c r="B15" s="90"/>
      <c r="C15" s="90"/>
      <c r="D15" s="91"/>
      <c r="E15" s="92"/>
      <c r="F15" s="93"/>
      <c r="G15" s="93"/>
      <c r="H15" s="94"/>
    </row>
    <row r="16" customFormat="false" ht="13.5" hidden="false" customHeight="false" outlineLevel="0" collapsed="false">
      <c r="A16" s="89"/>
      <c r="B16" s="90"/>
      <c r="C16" s="90"/>
      <c r="D16" s="91"/>
      <c r="E16" s="92"/>
      <c r="F16" s="95"/>
      <c r="G16" s="95"/>
      <c r="H16" s="94"/>
    </row>
    <row r="17" customFormat="false" ht="13.5" hidden="false" customHeight="false" outlineLevel="0" collapsed="false">
      <c r="A17" s="89"/>
      <c r="B17" s="90"/>
      <c r="C17" s="90"/>
      <c r="D17" s="91"/>
      <c r="E17" s="92"/>
      <c r="F17" s="95"/>
      <c r="G17" s="95"/>
      <c r="H17" s="94"/>
    </row>
    <row r="18" customFormat="false" ht="13.5" hidden="false" customHeight="false" outlineLevel="0" collapsed="false">
      <c r="A18" s="89"/>
      <c r="B18" s="90"/>
      <c r="C18" s="90"/>
      <c r="D18" s="91"/>
      <c r="E18" s="92"/>
      <c r="F18" s="95"/>
      <c r="G18" s="95"/>
      <c r="H18" s="94"/>
    </row>
    <row r="19" customFormat="false" ht="13.5" hidden="false" customHeight="false" outlineLevel="0" collapsed="false">
      <c r="A19" s="89"/>
      <c r="B19" s="90"/>
      <c r="C19" s="90"/>
      <c r="D19" s="91"/>
      <c r="E19" s="92"/>
      <c r="F19" s="95"/>
      <c r="G19" s="95"/>
      <c r="H19" s="94"/>
    </row>
    <row r="20" customFormat="false" ht="13.5" hidden="false" customHeight="false" outlineLevel="0" collapsed="false">
      <c r="A20" s="89"/>
      <c r="B20" s="90"/>
      <c r="C20" s="90"/>
      <c r="D20" s="91"/>
      <c r="E20" s="92"/>
      <c r="F20" s="95"/>
      <c r="G20" s="95"/>
      <c r="H20" s="94"/>
    </row>
    <row r="21" customFormat="false" ht="13.5" hidden="false" customHeight="false" outlineLevel="0" collapsed="false">
      <c r="A21" s="89"/>
      <c r="B21" s="90"/>
      <c r="C21" s="90"/>
      <c r="D21" s="91"/>
      <c r="E21" s="92"/>
      <c r="F21" s="95"/>
      <c r="G21" s="95"/>
      <c r="H21" s="94"/>
    </row>
    <row r="22" customFormat="false" ht="13.5" hidden="false" customHeight="false" outlineLevel="0" collapsed="false">
      <c r="A22" s="89"/>
      <c r="B22" s="90"/>
      <c r="C22" s="90"/>
      <c r="D22" s="91"/>
      <c r="E22" s="92"/>
      <c r="F22" s="95"/>
      <c r="G22" s="95"/>
      <c r="H22" s="94"/>
    </row>
    <row r="23" customFormat="false" ht="13.5" hidden="false" customHeight="false" outlineLevel="0" collapsed="false">
      <c r="A23" s="96"/>
      <c r="B23" s="97"/>
      <c r="C23" s="97"/>
      <c r="D23" s="98"/>
      <c r="E23" s="99"/>
      <c r="F23" s="100"/>
      <c r="G23" s="100"/>
      <c r="H23" s="101"/>
    </row>
  </sheetData>
  <mergeCells count="7">
    <mergeCell ref="A4:D4"/>
    <mergeCell ref="E4:H4"/>
    <mergeCell ref="A5:D5"/>
    <mergeCell ref="E5:H5"/>
    <mergeCell ref="A6:D6"/>
    <mergeCell ref="A7:D7"/>
    <mergeCell ref="E7:H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23" width="15.37"/>
    <col collapsed="false" customWidth="true" hidden="false" outlineLevel="0" max="2" min="2" style="23" width="26.5"/>
    <col collapsed="false" customWidth="true" hidden="false" outlineLevel="0" max="3" min="3" style="23" width="12.13"/>
    <col collapsed="false" customWidth="true" hidden="false" outlineLevel="0" max="4" min="4" style="23" width="9.5"/>
    <col collapsed="false" customWidth="true" hidden="false" outlineLevel="0" max="5" min="5" style="23" width="9.87"/>
    <col collapsed="false" customWidth="true" hidden="false" outlineLevel="0" max="8" min="6" style="23" width="5.13"/>
    <col collapsed="false" customWidth="true" hidden="false" outlineLevel="0" max="9" min="9" style="23" width="21"/>
    <col collapsed="false" customWidth="true" hidden="false" outlineLevel="0" max="10" min="10" style="23" width="33.13"/>
    <col collapsed="false" customWidth="false" hidden="false" outlineLevel="0" max="257" min="11" style="23" width="9"/>
  </cols>
  <sheetData>
    <row r="2" customFormat="false" ht="25.5" hidden="false" customHeight="true" outlineLevel="0" collapsed="false">
      <c r="A2" s="102" t="s">
        <v>94</v>
      </c>
      <c r="B2" s="102"/>
      <c r="C2" s="102"/>
      <c r="D2" s="102"/>
      <c r="E2" s="102"/>
      <c r="F2" s="102"/>
      <c r="G2" s="102"/>
      <c r="H2" s="102"/>
      <c r="I2" s="102"/>
    </row>
    <row r="3" customFormat="false" ht="14.25" hidden="false" customHeight="true" outlineLevel="0" collapsed="false">
      <c r="A3" s="103"/>
      <c r="B3" s="104"/>
      <c r="C3" s="104"/>
      <c r="D3" s="104"/>
      <c r="E3" s="104"/>
      <c r="F3" s="104"/>
      <c r="G3" s="104"/>
      <c r="H3" s="104"/>
      <c r="I3" s="105"/>
    </row>
    <row r="4" customFormat="false" ht="13.5" hidden="false" customHeight="true" outlineLevel="0" collapsed="false">
      <c r="A4" s="27" t="s">
        <v>46</v>
      </c>
      <c r="B4" s="60" t="str">
        <f aca="false">Cover!B4</f>
        <v>Date Time Checker</v>
      </c>
      <c r="C4" s="60"/>
      <c r="D4" s="24" t="s">
        <v>48</v>
      </c>
      <c r="E4" s="24"/>
      <c r="F4" s="106" t="s">
        <v>95</v>
      </c>
      <c r="G4" s="106"/>
      <c r="H4" s="106"/>
      <c r="I4" s="106"/>
    </row>
    <row r="5" customFormat="false" ht="13.5" hidden="false" customHeight="true" outlineLevel="0" collapsed="false">
      <c r="A5" s="27" t="s">
        <v>50</v>
      </c>
      <c r="B5" s="60" t="str">
        <f aca="false">Cover!B5</f>
        <v>FU-SWT</v>
      </c>
      <c r="C5" s="60"/>
      <c r="D5" s="24" t="s">
        <v>52</v>
      </c>
      <c r="E5" s="24"/>
      <c r="F5" s="106" t="s">
        <v>53</v>
      </c>
      <c r="G5" s="106"/>
      <c r="H5" s="106"/>
      <c r="I5" s="106"/>
    </row>
    <row r="6" customFormat="false" ht="12.75" hidden="false" customHeight="true" outlineLevel="0" collapsed="false">
      <c r="A6" s="107" t="s">
        <v>54</v>
      </c>
      <c r="B6" s="60" t="s">
        <v>96</v>
      </c>
      <c r="C6" s="60"/>
      <c r="D6" s="24" t="s">
        <v>56</v>
      </c>
      <c r="E6" s="24"/>
      <c r="F6" s="108" t="s">
        <v>57</v>
      </c>
      <c r="G6" s="108"/>
      <c r="H6" s="108"/>
      <c r="I6" s="108"/>
    </row>
    <row r="7" customFormat="false" ht="15.75" hidden="false" customHeight="true" outlineLevel="0" collapsed="false">
      <c r="A7" s="107" t="s">
        <v>97</v>
      </c>
      <c r="B7" s="109" t="s">
        <v>98</v>
      </c>
      <c r="C7" s="109"/>
      <c r="D7" s="109"/>
      <c r="E7" s="109"/>
      <c r="F7" s="109"/>
      <c r="G7" s="109"/>
      <c r="H7" s="109"/>
      <c r="I7" s="109"/>
    </row>
    <row r="8" customFormat="false" ht="14.25" hidden="false" customHeight="true" outlineLevel="0" collapsed="false">
      <c r="A8" s="110"/>
      <c r="B8" s="111"/>
      <c r="C8" s="104"/>
      <c r="D8" s="104"/>
      <c r="E8" s="104"/>
      <c r="F8" s="104"/>
      <c r="G8" s="104"/>
      <c r="H8" s="104"/>
      <c r="I8" s="105"/>
    </row>
    <row r="9" customFormat="false" ht="13.5" hidden="false" customHeight="false" outlineLevel="0" collapsed="false">
      <c r="A9" s="110"/>
      <c r="B9" s="111"/>
      <c r="C9" s="104"/>
      <c r="D9" s="104"/>
      <c r="E9" s="104"/>
      <c r="F9" s="104"/>
      <c r="G9" s="104"/>
      <c r="H9" s="104"/>
      <c r="I9" s="105"/>
    </row>
    <row r="10" customFormat="false" ht="13.5" hidden="false" customHeight="false" outlineLevel="0" collapsed="false">
      <c r="A10" s="112"/>
      <c r="B10" s="112"/>
      <c r="C10" s="112"/>
      <c r="D10" s="112"/>
      <c r="E10" s="112"/>
      <c r="F10" s="112"/>
      <c r="G10" s="112"/>
      <c r="H10" s="112"/>
      <c r="I10" s="112"/>
    </row>
    <row r="11" customFormat="false" ht="14.25" hidden="false" customHeight="true" outlineLevel="0" collapsed="false">
      <c r="A11" s="113" t="s">
        <v>75</v>
      </c>
      <c r="B11" s="114" t="s">
        <v>99</v>
      </c>
      <c r="C11" s="115" t="s">
        <v>100</v>
      </c>
      <c r="D11" s="114" t="s">
        <v>101</v>
      </c>
      <c r="E11" s="116" t="s">
        <v>102</v>
      </c>
      <c r="F11" s="116" t="s">
        <v>103</v>
      </c>
      <c r="G11" s="116" t="s">
        <v>67</v>
      </c>
      <c r="H11" s="116" t="s">
        <v>104</v>
      </c>
      <c r="I11" s="117" t="s">
        <v>105</v>
      </c>
    </row>
    <row r="12" customFormat="false" ht="13.5" hidden="false" customHeight="false" outlineLevel="0" collapsed="false">
      <c r="A12" s="118" t="n">
        <v>1</v>
      </c>
      <c r="B12" s="119" t="s">
        <v>86</v>
      </c>
      <c r="C12" s="120" t="n">
        <f aca="false">CheckDate!A7</f>
        <v>0</v>
      </c>
      <c r="D12" s="120" t="n">
        <f aca="false">CheckDate!C7</f>
        <v>0</v>
      </c>
      <c r="E12" s="120" t="n">
        <f aca="false">CheckDate!F7</f>
        <v>15</v>
      </c>
      <c r="F12" s="121" t="n">
        <f aca="false">CheckDate!L7</f>
        <v>2</v>
      </c>
      <c r="G12" s="120" t="n">
        <f aca="false">CheckDate!M7</f>
        <v>3</v>
      </c>
      <c r="H12" s="120" t="n">
        <f aca="false">CheckDate!N7</f>
        <v>10</v>
      </c>
      <c r="I12" s="120" t="n">
        <f aca="false">CheckDate!O7</f>
        <v>15</v>
      </c>
    </row>
    <row r="13" customFormat="false" ht="13.5" hidden="false" customHeight="false" outlineLevel="0" collapsed="false">
      <c r="A13" s="118" t="n">
        <v>2</v>
      </c>
      <c r="B13" s="119" t="s">
        <v>91</v>
      </c>
      <c r="C13" s="120" t="n">
        <f aca="false">DayInMonth!A7</f>
        <v>0</v>
      </c>
      <c r="D13" s="120" t="n">
        <f aca="false">DayInMonth!C7</f>
        <v>0</v>
      </c>
      <c r="E13" s="120" t="n">
        <f aca="false">DayInMonth!F7</f>
        <v>15</v>
      </c>
      <c r="F13" s="121" t="n">
        <f aca="false">DayInMonth!L7</f>
        <v>4</v>
      </c>
      <c r="G13" s="120" t="n">
        <f aca="false">DayInMonth!M7</f>
        <v>2</v>
      </c>
      <c r="H13" s="120" t="n">
        <f aca="false">DayInMonth!N7</f>
        <v>9</v>
      </c>
      <c r="I13" s="120" t="n">
        <f aca="false">DayInMonth!O7</f>
        <v>15</v>
      </c>
    </row>
    <row r="14" customFormat="false" ht="13.5" hidden="false" customHeight="false" outlineLevel="0" collapsed="false">
      <c r="A14" s="118"/>
      <c r="B14" s="119"/>
      <c r="C14" s="120"/>
      <c r="D14" s="120"/>
      <c r="E14" s="120"/>
      <c r="F14" s="121"/>
      <c r="G14" s="120"/>
      <c r="H14" s="120"/>
      <c r="I14" s="120"/>
    </row>
    <row r="15" customFormat="false" ht="13.8" hidden="false" customHeight="false" outlineLevel="0" collapsed="false">
      <c r="A15" s="118"/>
      <c r="B15" s="122"/>
      <c r="C15" s="120"/>
      <c r="D15" s="120"/>
      <c r="E15" s="120"/>
      <c r="F15" s="121"/>
      <c r="G15" s="120"/>
      <c r="H15" s="120"/>
      <c r="I15" s="120"/>
    </row>
    <row r="16" customFormat="false" ht="13.8" hidden="false" customHeight="false" outlineLevel="0" collapsed="false">
      <c r="A16" s="118"/>
      <c r="B16" s="122"/>
      <c r="C16" s="120"/>
      <c r="D16" s="120"/>
      <c r="E16" s="120"/>
      <c r="F16" s="121"/>
      <c r="G16" s="120"/>
      <c r="H16" s="120"/>
      <c r="I16" s="120"/>
    </row>
    <row r="17" customFormat="false" ht="13.8" hidden="false" customHeight="false" outlineLevel="0" collapsed="false">
      <c r="A17" s="123"/>
      <c r="B17" s="124" t="s">
        <v>106</v>
      </c>
      <c r="C17" s="125" t="n">
        <f aca="false">SUM(C10:C16)</f>
        <v>0</v>
      </c>
      <c r="D17" s="125" t="n">
        <f aca="false">SUM(D10:D16)</f>
        <v>0</v>
      </c>
      <c r="E17" s="125" t="n">
        <f aca="false">SUM(E10:E16)</f>
        <v>30</v>
      </c>
      <c r="F17" s="125" t="n">
        <f aca="false">SUM(F10:F16)</f>
        <v>6</v>
      </c>
      <c r="G17" s="125" t="n">
        <f aca="false">SUM(G10:G16)</f>
        <v>5</v>
      </c>
      <c r="H17" s="125" t="n">
        <f aca="false">SUM(H10:H16)</f>
        <v>19</v>
      </c>
      <c r="I17" s="125" t="n">
        <f aca="false">SUM(I10:I16)</f>
        <v>30</v>
      </c>
    </row>
    <row r="18" customFormat="false" ht="13.5" hidden="false" customHeight="false" outlineLevel="0" collapsed="false">
      <c r="A18" s="126"/>
      <c r="B18" s="112"/>
      <c r="C18" s="127"/>
      <c r="D18" s="128"/>
      <c r="E18" s="128"/>
      <c r="F18" s="128"/>
      <c r="G18" s="128"/>
      <c r="H18" s="128"/>
      <c r="I18" s="128"/>
    </row>
    <row r="19" customFormat="false" ht="13.5" hidden="false" customHeight="false" outlineLevel="0" collapsed="false">
      <c r="A19" s="112"/>
      <c r="B19" s="129" t="s">
        <v>107</v>
      </c>
      <c r="C19" s="112"/>
      <c r="D19" s="130" t="n">
        <f aca="false">(C17+D17)*100/(I17)</f>
        <v>0</v>
      </c>
      <c r="E19" s="112" t="s">
        <v>108</v>
      </c>
      <c r="F19" s="112"/>
      <c r="G19" s="112"/>
      <c r="H19" s="112"/>
      <c r="I19" s="131"/>
    </row>
    <row r="20" customFormat="false" ht="13.5" hidden="false" customHeight="false" outlineLevel="0" collapsed="false">
      <c r="A20" s="112"/>
      <c r="B20" s="129" t="s">
        <v>109</v>
      </c>
      <c r="C20" s="112"/>
      <c r="D20" s="130" t="str">
        <f aca="false">IF(C17+D17=0,"N/A",C17*100/(C17+D17))</f>
        <v>N/A</v>
      </c>
      <c r="E20" s="112" t="s">
        <v>108</v>
      </c>
      <c r="F20" s="112"/>
      <c r="G20" s="112"/>
      <c r="H20" s="112"/>
      <c r="I20" s="131"/>
    </row>
    <row r="21" customFormat="false" ht="13.5" hidden="false" customHeight="false" outlineLevel="0" collapsed="false">
      <c r="B21" s="129" t="s">
        <v>110</v>
      </c>
      <c r="C21" s="112"/>
      <c r="D21" s="130" t="n">
        <f aca="false">F17*100/I17</f>
        <v>20</v>
      </c>
      <c r="E21" s="112" t="s">
        <v>108</v>
      </c>
    </row>
    <row r="22" customFormat="false" ht="13.5" hidden="false" customHeight="false" outlineLevel="0" collapsed="false">
      <c r="B22" s="129" t="s">
        <v>111</v>
      </c>
      <c r="D22" s="130" t="n">
        <f aca="false">G17*100/I17</f>
        <v>16.6666666666667</v>
      </c>
      <c r="E22" s="112" t="s">
        <v>108</v>
      </c>
    </row>
    <row r="23" customFormat="false" ht="13.5" hidden="false" customHeight="false" outlineLevel="0" collapsed="false">
      <c r="B23" s="129" t="s">
        <v>112</v>
      </c>
      <c r="D23" s="130" t="n">
        <f aca="false">H17*100/I17</f>
        <v>63.3333333333333</v>
      </c>
      <c r="E23" s="112" t="s">
        <v>108</v>
      </c>
    </row>
  </sheetData>
  <mergeCells count="11">
    <mergeCell ref="A2:I2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I7"/>
  </mergeCells>
  <hyperlinks>
    <hyperlink ref="B12" location="Function1!A1" display="DTC-CD"/>
    <hyperlink ref="B13" location="Function2!A1" display="DTC-DI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N20" activeCellId="0" sqref="N2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32" width="8.13"/>
    <col collapsed="false" customWidth="true" hidden="false" outlineLevel="0" max="2" min="2" style="133" width="13.37"/>
    <col collapsed="false" customWidth="true" hidden="false" outlineLevel="0" max="3" min="3" style="132" width="10.87"/>
    <col collapsed="false" customWidth="true" hidden="false" outlineLevel="0" max="4" min="4" style="134" width="11.37"/>
    <col collapsed="false" customWidth="true" hidden="true" outlineLevel="0" max="5" min="5" style="132" width="1.87"/>
    <col collapsed="false" customWidth="true" hidden="false" outlineLevel="0" max="20" min="6" style="0" width="9.5"/>
    <col collapsed="false" customWidth="true" hidden="false" outlineLevel="0" max="21" min="21" style="132" width="2.87"/>
    <col collapsed="false" customWidth="false" hidden="false" outlineLevel="0" max="257" min="22" style="132" width="9"/>
  </cols>
  <sheetData>
    <row r="1" customFormat="false" ht="13.5" hidden="false" customHeight="true" outlineLevel="0" collapsed="false">
      <c r="A1" s="135"/>
      <c r="B1" s="136"/>
    </row>
    <row r="2" customFormat="false" ht="13.5" hidden="false" customHeight="true" outlineLevel="0" collapsed="false">
      <c r="A2" s="137" t="s">
        <v>113</v>
      </c>
      <c r="B2" s="137"/>
      <c r="C2" s="138" t="str">
        <f aca="false">FunctionList!E11</f>
        <v>DTC-CD</v>
      </c>
      <c r="D2" s="138"/>
      <c r="E2" s="138"/>
      <c r="F2" s="139" t="s">
        <v>78</v>
      </c>
      <c r="G2" s="139"/>
      <c r="H2" s="139"/>
      <c r="I2" s="139"/>
      <c r="J2" s="139"/>
      <c r="K2" s="139"/>
      <c r="L2" s="140" t="str">
        <f aca="false">FunctionList!D11</f>
        <v>IsValidDate</v>
      </c>
      <c r="M2" s="140"/>
      <c r="N2" s="140"/>
      <c r="O2" s="140"/>
      <c r="P2" s="140"/>
      <c r="Q2" s="140"/>
      <c r="R2" s="140"/>
      <c r="S2" s="140"/>
      <c r="T2" s="140"/>
      <c r="V2" s="141"/>
    </row>
    <row r="3" customFormat="false" ht="13.5" hidden="false" customHeight="true" outlineLevel="0" collapsed="false">
      <c r="A3" s="142" t="s">
        <v>114</v>
      </c>
      <c r="B3" s="142"/>
      <c r="C3" s="143" t="s">
        <v>95</v>
      </c>
      <c r="D3" s="143"/>
      <c r="E3" s="143"/>
      <c r="F3" s="144" t="s">
        <v>115</v>
      </c>
      <c r="G3" s="144"/>
      <c r="H3" s="144"/>
      <c r="I3" s="144"/>
      <c r="J3" s="144"/>
      <c r="K3" s="144"/>
      <c r="L3" s="145" t="s">
        <v>116</v>
      </c>
      <c r="M3" s="145"/>
      <c r="N3" s="145"/>
      <c r="O3" s="146"/>
      <c r="P3" s="146"/>
      <c r="Q3" s="146"/>
      <c r="R3" s="146"/>
      <c r="S3" s="146"/>
      <c r="T3" s="147"/>
    </row>
    <row r="4" customFormat="false" ht="13.5" hidden="false" customHeight="true" outlineLevel="0" collapsed="false">
      <c r="A4" s="142" t="s">
        <v>117</v>
      </c>
      <c r="B4" s="142"/>
      <c r="C4" s="148"/>
      <c r="D4" s="148"/>
      <c r="E4" s="149"/>
      <c r="F4" s="144" t="s">
        <v>118</v>
      </c>
      <c r="G4" s="144"/>
      <c r="H4" s="144"/>
      <c r="I4" s="144"/>
      <c r="J4" s="144"/>
      <c r="K4" s="144"/>
      <c r="L4" s="150" t="str">
        <f aca="false">IF(FunctionList!E6&lt;&gt;"N/A",SUM(C4*FunctionList!E6/1000,-O7),"N/A")</f>
        <v>N/A</v>
      </c>
      <c r="M4" s="150"/>
      <c r="N4" s="150"/>
      <c r="O4" s="150"/>
      <c r="P4" s="150"/>
      <c r="Q4" s="150"/>
      <c r="R4" s="150"/>
      <c r="S4" s="150"/>
      <c r="T4" s="150"/>
      <c r="V4" s="141"/>
    </row>
    <row r="5" customFormat="false" ht="13.5" hidden="false" customHeight="true" outlineLevel="0" collapsed="false">
      <c r="A5" s="142" t="s">
        <v>119</v>
      </c>
      <c r="B5" s="142"/>
      <c r="C5" s="151" t="s">
        <v>120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</row>
    <row r="6" customFormat="false" ht="13.5" hidden="false" customHeight="true" outlineLevel="0" collapsed="false">
      <c r="A6" s="152" t="s">
        <v>100</v>
      </c>
      <c r="B6" s="152"/>
      <c r="C6" s="153" t="s">
        <v>101</v>
      </c>
      <c r="D6" s="153"/>
      <c r="E6" s="153"/>
      <c r="F6" s="153" t="s">
        <v>102</v>
      </c>
      <c r="G6" s="153"/>
      <c r="H6" s="153"/>
      <c r="I6" s="153"/>
      <c r="J6" s="153"/>
      <c r="K6" s="153"/>
      <c r="L6" s="154" t="s">
        <v>121</v>
      </c>
      <c r="M6" s="154"/>
      <c r="N6" s="154"/>
      <c r="O6" s="155" t="s">
        <v>105</v>
      </c>
      <c r="P6" s="155"/>
      <c r="Q6" s="155"/>
      <c r="R6" s="155"/>
      <c r="S6" s="155"/>
      <c r="T6" s="155"/>
      <c r="V6" s="141"/>
    </row>
    <row r="7" customFormat="false" ht="13.5" hidden="false" customHeight="true" outlineLevel="0" collapsed="false">
      <c r="A7" s="156" t="n">
        <f aca="false">COUNTIF(F40:HQ40,"P")</f>
        <v>0</v>
      </c>
      <c r="B7" s="156"/>
      <c r="C7" s="157" t="n">
        <f aca="false">COUNTIF(F40:HQ40,"F")</f>
        <v>0</v>
      </c>
      <c r="D7" s="157"/>
      <c r="E7" s="157"/>
      <c r="F7" s="157" t="n">
        <f aca="false">SUM(O7,-A7,-C7)</f>
        <v>15</v>
      </c>
      <c r="G7" s="157"/>
      <c r="H7" s="157"/>
      <c r="I7" s="157"/>
      <c r="J7" s="157"/>
      <c r="K7" s="157"/>
      <c r="L7" s="158" t="n">
        <f aca="false">COUNTIF(E39:HQ39,"N")</f>
        <v>2</v>
      </c>
      <c r="M7" s="158" t="n">
        <f aca="false">COUNTIF(E39:HQ39,"A")</f>
        <v>3</v>
      </c>
      <c r="N7" s="158" t="n">
        <f aca="false">COUNTIF(E39:HQ39,"B")</f>
        <v>10</v>
      </c>
      <c r="O7" s="159" t="n">
        <f aca="false">COUNTA(E9:HT9)</f>
        <v>15</v>
      </c>
      <c r="P7" s="159"/>
      <c r="Q7" s="159"/>
      <c r="R7" s="159"/>
      <c r="S7" s="159"/>
      <c r="T7" s="159"/>
      <c r="U7" s="160"/>
    </row>
    <row r="8" customFormat="false" ht="12" hidden="false" customHeight="true" outlineLevel="0" collapsed="false"/>
    <row r="9" customFormat="false" ht="46.5" hidden="false" customHeight="true" outlineLevel="0" collapsed="false">
      <c r="A9" s="161"/>
      <c r="B9" s="162"/>
      <c r="C9" s="163"/>
      <c r="D9" s="164"/>
      <c r="E9" s="163"/>
      <c r="F9" s="165" t="s">
        <v>122</v>
      </c>
      <c r="G9" s="165" t="s">
        <v>123</v>
      </c>
      <c r="H9" s="165" t="s">
        <v>124</v>
      </c>
      <c r="I9" s="165" t="s">
        <v>125</v>
      </c>
      <c r="J9" s="165" t="s">
        <v>126</v>
      </c>
      <c r="K9" s="165" t="s">
        <v>127</v>
      </c>
      <c r="L9" s="165" t="s">
        <v>128</v>
      </c>
      <c r="M9" s="165" t="s">
        <v>129</v>
      </c>
      <c r="N9" s="165" t="s">
        <v>130</v>
      </c>
      <c r="O9" s="165" t="s">
        <v>131</v>
      </c>
      <c r="P9" s="165" t="s">
        <v>132</v>
      </c>
      <c r="Q9" s="165" t="s">
        <v>133</v>
      </c>
      <c r="R9" s="165" t="s">
        <v>134</v>
      </c>
      <c r="S9" s="165" t="s">
        <v>135</v>
      </c>
      <c r="T9" s="166" t="s">
        <v>136</v>
      </c>
      <c r="U9" s="167"/>
      <c r="V9" s="168"/>
      <c r="W9" s="169"/>
    </row>
    <row r="10" customFormat="false" ht="13.5" hidden="false" customHeight="true" outlineLevel="0" collapsed="false">
      <c r="A10" s="170" t="s">
        <v>137</v>
      </c>
      <c r="B10" s="171" t="s">
        <v>138</v>
      </c>
      <c r="C10" s="172"/>
      <c r="D10" s="173"/>
      <c r="E10" s="174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6"/>
    </row>
    <row r="11" customFormat="false" ht="13.5" hidden="false" customHeight="true" outlineLevel="0" collapsed="false">
      <c r="A11" s="177"/>
      <c r="B11" s="178"/>
      <c r="C11" s="179"/>
      <c r="D11" s="180" t="s">
        <v>139</v>
      </c>
      <c r="E11" s="174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2"/>
      <c r="V11" s="141"/>
    </row>
    <row r="12" customFormat="false" ht="13.5" hidden="false" customHeight="true" outlineLevel="0" collapsed="false">
      <c r="A12" s="177"/>
      <c r="B12" s="178"/>
      <c r="C12" s="179"/>
      <c r="D12" s="180"/>
      <c r="E12" s="174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2"/>
    </row>
    <row r="13" customFormat="false" ht="13.5" hidden="false" customHeight="true" outlineLevel="0" collapsed="false">
      <c r="A13" s="177"/>
      <c r="B13" s="178"/>
      <c r="C13" s="179"/>
      <c r="D13" s="180"/>
      <c r="E13" s="183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2"/>
    </row>
    <row r="14" customFormat="false" ht="13.5" hidden="false" customHeight="true" outlineLevel="0" collapsed="false">
      <c r="A14" s="177"/>
      <c r="B14" s="178" t="s">
        <v>140</v>
      </c>
      <c r="C14" s="179"/>
      <c r="D14" s="180"/>
      <c r="E14" s="184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2"/>
    </row>
    <row r="15" customFormat="false" ht="13.5" hidden="false" customHeight="true" outlineLevel="0" collapsed="false">
      <c r="A15" s="177"/>
      <c r="B15" s="178"/>
      <c r="C15" s="179"/>
      <c r="D15" s="180" t="n">
        <v>0</v>
      </c>
      <c r="E15" s="184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 t="s">
        <v>141</v>
      </c>
      <c r="Q15" s="181" t="s">
        <v>141</v>
      </c>
      <c r="R15" s="181"/>
      <c r="S15" s="181"/>
      <c r="T15" s="182"/>
    </row>
    <row r="16" customFormat="false" ht="13.5" hidden="false" customHeight="true" outlineLevel="0" collapsed="false">
      <c r="A16" s="177"/>
      <c r="B16" s="178"/>
      <c r="C16" s="179"/>
      <c r="D16" s="180" t="n">
        <v>29</v>
      </c>
      <c r="E16" s="184"/>
      <c r="F16" s="181"/>
      <c r="G16" s="181"/>
      <c r="H16" s="181" t="s">
        <v>141</v>
      </c>
      <c r="I16" s="181" t="s">
        <v>141</v>
      </c>
      <c r="J16" s="181" t="s">
        <v>141</v>
      </c>
      <c r="K16" s="181" t="s">
        <v>141</v>
      </c>
      <c r="L16" s="181" t="s">
        <v>141</v>
      </c>
      <c r="M16" s="181" t="s">
        <v>141</v>
      </c>
      <c r="N16" s="181" t="s">
        <v>141</v>
      </c>
      <c r="O16" s="181" t="s">
        <v>141</v>
      </c>
      <c r="P16" s="181"/>
      <c r="Q16" s="181"/>
      <c r="R16" s="181" t="s">
        <v>141</v>
      </c>
      <c r="S16" s="181" t="s">
        <v>141</v>
      </c>
      <c r="T16" s="182"/>
    </row>
    <row r="17" customFormat="false" ht="13.5" hidden="false" customHeight="true" outlineLevel="0" collapsed="false">
      <c r="A17" s="177"/>
      <c r="B17" s="178"/>
      <c r="C17" s="179"/>
      <c r="D17" s="180" t="n">
        <v>31</v>
      </c>
      <c r="E17" s="184"/>
      <c r="F17" s="181" t="s">
        <v>141</v>
      </c>
      <c r="G17" s="181" t="s">
        <v>141</v>
      </c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2" t="s">
        <v>141</v>
      </c>
      <c r="U17" s="185"/>
    </row>
    <row r="18" customFormat="false" ht="13.5" hidden="false" customHeight="true" outlineLevel="0" collapsed="false">
      <c r="A18" s="177"/>
      <c r="B18" s="178" t="s">
        <v>142</v>
      </c>
      <c r="C18" s="179"/>
      <c r="D18" s="180" t="n">
        <v>1</v>
      </c>
      <c r="E18" s="184"/>
      <c r="F18" s="181" t="s">
        <v>141</v>
      </c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 t="s">
        <v>141</v>
      </c>
      <c r="R18" s="181"/>
      <c r="S18" s="181"/>
      <c r="T18" s="182" t="s">
        <v>141</v>
      </c>
      <c r="U18" s="185"/>
    </row>
    <row r="19" customFormat="false" ht="13.5" hidden="false" customHeight="true" outlineLevel="0" collapsed="false">
      <c r="A19" s="177"/>
      <c r="B19" s="178"/>
      <c r="C19" s="179"/>
      <c r="D19" s="186" t="n">
        <v>2</v>
      </c>
      <c r="E19" s="186"/>
      <c r="F19" s="181"/>
      <c r="G19" s="181"/>
      <c r="H19" s="181" t="s">
        <v>141</v>
      </c>
      <c r="I19" s="181" t="s">
        <v>141</v>
      </c>
      <c r="J19" s="181" t="s">
        <v>141</v>
      </c>
      <c r="K19" s="181" t="s">
        <v>141</v>
      </c>
      <c r="L19" s="181" t="s">
        <v>141</v>
      </c>
      <c r="M19" s="181" t="s">
        <v>141</v>
      </c>
      <c r="N19" s="181"/>
      <c r="O19" s="181"/>
      <c r="P19" s="181" t="s">
        <v>141</v>
      </c>
      <c r="Q19" s="181"/>
      <c r="R19" s="181" t="s">
        <v>141</v>
      </c>
      <c r="S19" s="181" t="s">
        <v>141</v>
      </c>
      <c r="T19" s="182"/>
    </row>
    <row r="20" customFormat="false" ht="13.5" hidden="false" customHeight="true" outlineLevel="0" collapsed="false">
      <c r="A20" s="177"/>
      <c r="B20" s="178"/>
      <c r="C20" s="179"/>
      <c r="D20" s="180" t="n">
        <v>4</v>
      </c>
      <c r="E20" s="184"/>
      <c r="F20" s="181"/>
      <c r="G20" s="181" t="s">
        <v>141</v>
      </c>
      <c r="H20" s="181"/>
      <c r="I20" s="181"/>
      <c r="J20" s="181"/>
      <c r="K20" s="181"/>
      <c r="L20" s="181"/>
      <c r="M20" s="181"/>
      <c r="N20" s="181" t="s">
        <v>141</v>
      </c>
      <c r="O20" s="181"/>
      <c r="P20" s="181"/>
      <c r="Q20" s="181"/>
      <c r="R20" s="181"/>
      <c r="S20" s="181"/>
      <c r="T20" s="182"/>
    </row>
    <row r="21" customFormat="false" ht="13.5" hidden="false" customHeight="true" outlineLevel="0" collapsed="false">
      <c r="A21" s="177"/>
      <c r="B21" s="178"/>
      <c r="C21" s="179"/>
      <c r="D21" s="180" t="n">
        <v>0</v>
      </c>
      <c r="E21" s="184"/>
      <c r="F21" s="181"/>
      <c r="G21" s="181"/>
      <c r="H21" s="181"/>
      <c r="I21" s="181"/>
      <c r="J21" s="181"/>
      <c r="K21" s="181"/>
      <c r="L21" s="181"/>
      <c r="M21" s="181"/>
      <c r="N21" s="181"/>
      <c r="O21" s="181" t="s">
        <v>141</v>
      </c>
      <c r="P21" s="181"/>
      <c r="Q21" s="181"/>
      <c r="R21" s="181"/>
      <c r="S21" s="181"/>
      <c r="T21" s="182"/>
    </row>
    <row r="22" customFormat="false" ht="13.5" hidden="false" customHeight="true" outlineLevel="0" collapsed="false">
      <c r="A22" s="177"/>
      <c r="B22" s="178" t="s">
        <v>143</v>
      </c>
      <c r="C22" s="179"/>
      <c r="D22" s="180"/>
      <c r="E22" s="184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2"/>
    </row>
    <row r="23" customFormat="false" ht="13.5" hidden="false" customHeight="true" outlineLevel="0" collapsed="false">
      <c r="A23" s="177"/>
      <c r="B23" s="178"/>
      <c r="C23" s="179"/>
      <c r="D23" s="180" t="n">
        <v>2023</v>
      </c>
      <c r="E23" s="184"/>
      <c r="F23" s="181" t="s">
        <v>141</v>
      </c>
      <c r="G23" s="181" t="s">
        <v>141</v>
      </c>
      <c r="H23" s="181"/>
      <c r="I23" s="181" t="s">
        <v>141</v>
      </c>
      <c r="J23" s="181"/>
      <c r="K23" s="181"/>
      <c r="L23" s="181"/>
      <c r="M23" s="181"/>
      <c r="N23" s="181" t="s">
        <v>141</v>
      </c>
      <c r="O23" s="181" t="s">
        <v>141</v>
      </c>
      <c r="P23" s="181" t="s">
        <v>141</v>
      </c>
      <c r="Q23" s="181"/>
      <c r="R23" s="181"/>
      <c r="S23" s="181"/>
      <c r="T23" s="182"/>
    </row>
    <row r="24" customFormat="false" ht="13.5" hidden="false" customHeight="true" outlineLevel="0" collapsed="false">
      <c r="A24" s="177"/>
      <c r="B24" s="178"/>
      <c r="C24" s="179"/>
      <c r="D24" s="180" t="n">
        <v>2024</v>
      </c>
      <c r="E24" s="184"/>
      <c r="F24" s="181"/>
      <c r="G24" s="181"/>
      <c r="H24" s="181" t="s">
        <v>141</v>
      </c>
      <c r="I24" s="181"/>
      <c r="J24" s="181"/>
      <c r="K24" s="181"/>
      <c r="L24" s="181"/>
      <c r="M24" s="181"/>
      <c r="N24" s="181"/>
      <c r="O24" s="181"/>
      <c r="P24" s="181"/>
      <c r="Q24" s="181" t="s">
        <v>141</v>
      </c>
      <c r="R24" s="181"/>
      <c r="S24" s="181"/>
      <c r="T24" s="182" t="s">
        <v>141</v>
      </c>
    </row>
    <row r="25" customFormat="false" ht="13.5" hidden="false" customHeight="true" outlineLevel="0" collapsed="false">
      <c r="A25" s="177"/>
      <c r="B25" s="178"/>
      <c r="C25" s="179"/>
      <c r="D25" s="180" t="n">
        <v>2000</v>
      </c>
      <c r="E25" s="184"/>
      <c r="F25" s="181"/>
      <c r="G25" s="181"/>
      <c r="H25" s="181"/>
      <c r="I25" s="181"/>
      <c r="J25" s="181" t="s">
        <v>141</v>
      </c>
      <c r="K25" s="181"/>
      <c r="L25" s="181"/>
      <c r="M25" s="181"/>
      <c r="N25" s="181"/>
      <c r="O25" s="181"/>
      <c r="P25" s="181"/>
      <c r="Q25" s="181"/>
      <c r="R25" s="181"/>
      <c r="S25" s="181"/>
      <c r="T25" s="182"/>
    </row>
    <row r="26" customFormat="false" ht="13.5" hidden="false" customHeight="true" outlineLevel="0" collapsed="false">
      <c r="A26" s="177"/>
      <c r="B26" s="178"/>
      <c r="C26" s="179"/>
      <c r="D26" s="180" t="n">
        <v>1900</v>
      </c>
      <c r="E26" s="184"/>
      <c r="F26" s="181"/>
      <c r="G26" s="181"/>
      <c r="H26" s="181"/>
      <c r="I26" s="181"/>
      <c r="J26" s="181"/>
      <c r="K26" s="181" t="s">
        <v>141</v>
      </c>
      <c r="L26" s="181"/>
      <c r="M26" s="181"/>
      <c r="N26" s="181"/>
      <c r="O26" s="181"/>
      <c r="P26" s="181"/>
      <c r="Q26" s="181"/>
      <c r="R26" s="181"/>
      <c r="S26" s="181"/>
      <c r="T26" s="182"/>
    </row>
    <row r="27" customFormat="false" ht="13.5" hidden="false" customHeight="true" outlineLevel="0" collapsed="false">
      <c r="A27" s="177"/>
      <c r="B27" s="178"/>
      <c r="C27" s="179"/>
      <c r="D27" s="180" t="n">
        <v>2100</v>
      </c>
      <c r="E27" s="184"/>
      <c r="F27" s="181"/>
      <c r="G27" s="181"/>
      <c r="H27" s="181"/>
      <c r="I27" s="181"/>
      <c r="J27" s="181"/>
      <c r="K27" s="181"/>
      <c r="L27" s="181" t="s">
        <v>141</v>
      </c>
      <c r="M27" s="181"/>
      <c r="N27" s="181"/>
      <c r="O27" s="181"/>
      <c r="P27" s="181"/>
      <c r="Q27" s="181"/>
      <c r="R27" s="181"/>
      <c r="S27" s="181"/>
      <c r="T27" s="182"/>
    </row>
    <row r="28" customFormat="false" ht="13.5" hidden="false" customHeight="true" outlineLevel="0" collapsed="false">
      <c r="A28" s="177"/>
      <c r="B28" s="178"/>
      <c r="C28" s="179"/>
      <c r="D28" s="180" t="n">
        <v>2400</v>
      </c>
      <c r="E28" s="184"/>
      <c r="F28" s="181"/>
      <c r="G28" s="181"/>
      <c r="H28" s="181"/>
      <c r="I28" s="181"/>
      <c r="J28" s="181"/>
      <c r="K28" s="181"/>
      <c r="L28" s="181"/>
      <c r="M28" s="181" t="s">
        <v>141</v>
      </c>
      <c r="N28" s="181"/>
      <c r="O28" s="181"/>
      <c r="P28" s="181"/>
      <c r="Q28" s="181"/>
      <c r="R28" s="181"/>
      <c r="S28" s="181"/>
      <c r="T28" s="182"/>
    </row>
    <row r="29" customFormat="false" ht="13.5" hidden="false" customHeight="true" outlineLevel="0" collapsed="false">
      <c r="A29" s="177"/>
      <c r="B29" s="178"/>
      <c r="C29" s="179"/>
      <c r="D29" s="180" t="n">
        <v>1000</v>
      </c>
      <c r="E29" s="184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 t="s">
        <v>141</v>
      </c>
      <c r="S29" s="181"/>
      <c r="T29" s="182"/>
    </row>
    <row r="30" customFormat="false" ht="13.5" hidden="false" customHeight="true" outlineLevel="0" collapsed="false">
      <c r="A30" s="177"/>
      <c r="B30" s="187"/>
      <c r="C30" s="188"/>
      <c r="D30" s="189" t="n">
        <v>3000</v>
      </c>
      <c r="E30" s="190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 t="s">
        <v>141</v>
      </c>
      <c r="T30" s="192"/>
    </row>
    <row r="31" customFormat="false" ht="13.5" hidden="false" customHeight="true" outlineLevel="0" collapsed="false">
      <c r="A31" s="193" t="s">
        <v>144</v>
      </c>
      <c r="B31" s="194" t="s">
        <v>145</v>
      </c>
      <c r="C31" s="195"/>
      <c r="D31" s="196"/>
      <c r="E31" s="197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6"/>
    </row>
    <row r="32" customFormat="false" ht="13.5" hidden="false" customHeight="true" outlineLevel="0" collapsed="false">
      <c r="A32" s="198"/>
      <c r="B32" s="199"/>
      <c r="C32" s="200"/>
      <c r="D32" s="201" t="s">
        <v>146</v>
      </c>
      <c r="E32" s="202"/>
      <c r="F32" s="181" t="s">
        <v>141</v>
      </c>
      <c r="G32" s="181"/>
      <c r="H32" s="181" t="s">
        <v>141</v>
      </c>
      <c r="I32" s="181"/>
      <c r="J32" s="181" t="s">
        <v>141</v>
      </c>
      <c r="K32" s="181"/>
      <c r="L32" s="181"/>
      <c r="M32" s="181" t="s">
        <v>141</v>
      </c>
      <c r="N32" s="181" t="s">
        <v>141</v>
      </c>
      <c r="O32" s="181"/>
      <c r="P32" s="181"/>
      <c r="Q32" s="181"/>
      <c r="R32" s="181"/>
      <c r="S32" s="181"/>
      <c r="T32" s="182" t="s">
        <v>141</v>
      </c>
    </row>
    <row r="33" customFormat="false" ht="13.5" hidden="false" customHeight="true" outlineLevel="0" collapsed="false">
      <c r="A33" s="198"/>
      <c r="B33" s="199"/>
      <c r="C33" s="203"/>
      <c r="D33" s="201" t="s">
        <v>147</v>
      </c>
      <c r="E33" s="204"/>
      <c r="F33" s="181"/>
      <c r="G33" s="181" t="s">
        <v>141</v>
      </c>
      <c r="H33" s="181"/>
      <c r="I33" s="181" t="s">
        <v>141</v>
      </c>
      <c r="J33" s="181"/>
      <c r="K33" s="181" t="s">
        <v>141</v>
      </c>
      <c r="L33" s="181" t="s">
        <v>141</v>
      </c>
      <c r="M33" s="181"/>
      <c r="N33" s="181"/>
      <c r="O33" s="181" t="s">
        <v>141</v>
      </c>
      <c r="P33" s="181" t="s">
        <v>141</v>
      </c>
      <c r="Q33" s="181" t="s">
        <v>141</v>
      </c>
      <c r="R33" s="181" t="s">
        <v>141</v>
      </c>
      <c r="S33" s="181" t="s">
        <v>141</v>
      </c>
      <c r="T33" s="182"/>
    </row>
    <row r="34" customFormat="false" ht="13.5" hidden="false" customHeight="true" outlineLevel="0" collapsed="false">
      <c r="A34" s="198"/>
      <c r="B34" s="199" t="s">
        <v>148</v>
      </c>
      <c r="C34" s="203"/>
      <c r="D34" s="201"/>
      <c r="E34" s="204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2"/>
    </row>
    <row r="35" customFormat="false" ht="13.5" hidden="false" customHeight="true" outlineLevel="0" collapsed="false">
      <c r="A35" s="198"/>
      <c r="B35" s="199"/>
      <c r="C35" s="203"/>
      <c r="D35" s="201"/>
      <c r="E35" s="204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2"/>
    </row>
    <row r="36" customFormat="false" ht="13.5" hidden="false" customHeight="true" outlineLevel="0" collapsed="false">
      <c r="A36" s="198"/>
      <c r="B36" s="199" t="s">
        <v>149</v>
      </c>
      <c r="C36" s="203"/>
      <c r="D36" s="201"/>
      <c r="E36" s="204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2"/>
    </row>
    <row r="37" customFormat="false" ht="13.5" hidden="false" customHeight="true" outlineLevel="0" collapsed="false">
      <c r="A37" s="198"/>
      <c r="B37" s="199"/>
      <c r="C37" s="203"/>
      <c r="D37" s="201"/>
      <c r="E37" s="204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2"/>
    </row>
    <row r="38" customFormat="false" ht="13.5" hidden="false" customHeight="true" outlineLevel="0" collapsed="false">
      <c r="A38" s="198"/>
      <c r="B38" s="205"/>
      <c r="C38" s="206"/>
      <c r="D38" s="207"/>
      <c r="E38" s="208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10"/>
    </row>
    <row r="39" customFormat="false" ht="13.5" hidden="false" customHeight="true" outlineLevel="0" collapsed="false">
      <c r="A39" s="193" t="s">
        <v>150</v>
      </c>
      <c r="B39" s="211" t="s">
        <v>151</v>
      </c>
      <c r="C39" s="211"/>
      <c r="D39" s="211"/>
      <c r="E39" s="211"/>
      <c r="F39" s="212" t="s">
        <v>104</v>
      </c>
      <c r="G39" s="212" t="s">
        <v>104</v>
      </c>
      <c r="H39" s="212" t="s">
        <v>104</v>
      </c>
      <c r="I39" s="212" t="s">
        <v>104</v>
      </c>
      <c r="J39" s="212" t="s">
        <v>104</v>
      </c>
      <c r="K39" s="212" t="s">
        <v>104</v>
      </c>
      <c r="L39" s="212" t="s">
        <v>104</v>
      </c>
      <c r="M39" s="212" t="s">
        <v>104</v>
      </c>
      <c r="N39" s="212" t="s">
        <v>103</v>
      </c>
      <c r="O39" s="212" t="s">
        <v>67</v>
      </c>
      <c r="P39" s="212" t="s">
        <v>67</v>
      </c>
      <c r="Q39" s="212" t="s">
        <v>67</v>
      </c>
      <c r="R39" s="212" t="s">
        <v>104</v>
      </c>
      <c r="S39" s="212" t="s">
        <v>104</v>
      </c>
      <c r="T39" s="213" t="s">
        <v>103</v>
      </c>
    </row>
    <row r="40" customFormat="false" ht="13.5" hidden="false" customHeight="true" outlineLevel="0" collapsed="false">
      <c r="A40" s="198"/>
      <c r="B40" s="214" t="s">
        <v>152</v>
      </c>
      <c r="C40" s="214"/>
      <c r="D40" s="214"/>
      <c r="E40" s="215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7"/>
    </row>
    <row r="41" customFormat="false" ht="13.5" hidden="false" customHeight="true" outlineLevel="0" collapsed="false">
      <c r="A41" s="198"/>
      <c r="B41" s="218" t="s">
        <v>153</v>
      </c>
      <c r="C41" s="218"/>
      <c r="D41" s="218"/>
      <c r="E41" s="219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1"/>
    </row>
    <row r="42" customFormat="false" ht="79.5" hidden="false" customHeight="true" outlineLevel="0" collapsed="false">
      <c r="A42" s="222"/>
      <c r="B42" s="223" t="s">
        <v>154</v>
      </c>
      <c r="C42" s="223"/>
      <c r="D42" s="223"/>
      <c r="E42" s="224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6"/>
    </row>
    <row r="43" customFormat="false" ht="12" hidden="false" customHeight="true" outlineLevel="0" collapsed="false">
      <c r="A43" s="227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19:E19"/>
    <mergeCell ref="B39:D39"/>
    <mergeCell ref="B40:D40"/>
    <mergeCell ref="B41:D41"/>
    <mergeCell ref="B42:D42"/>
  </mergeCells>
  <dataValidations count="3">
    <dataValidation allowBlank="true" errorStyle="stop" operator="between" showDropDown="false" showErrorMessage="true" showInputMessage="false" sqref="F39:T39" type="list">
      <formula1>"N,A,B,"</formula1>
      <formula2>0</formula2>
    </dataValidation>
    <dataValidation allowBlank="true" errorStyle="stop" operator="between" showDropDown="false" showErrorMessage="true" showInputMessage="false" sqref="F40:T40" type="list">
      <formula1>"P,F,"</formula1>
      <formula2>0</formula2>
    </dataValidation>
    <dataValidation allowBlank="true" errorStyle="stop" operator="between" showDropDown="false" showErrorMessage="true" showInputMessage="false" sqref="F10:T38" type="list">
      <formula1>"O,"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5" activeCellId="0" sqref="U2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32" width="8.13"/>
    <col collapsed="false" customWidth="true" hidden="false" outlineLevel="0" max="2" min="2" style="133" width="13.37"/>
    <col collapsed="false" customWidth="true" hidden="false" outlineLevel="0" max="3" min="3" style="132" width="10.87"/>
    <col collapsed="false" customWidth="true" hidden="false" outlineLevel="0" max="4" min="4" style="134" width="11.37"/>
    <col collapsed="false" customWidth="true" hidden="true" outlineLevel="0" max="5" min="5" style="132" width="1.87"/>
    <col collapsed="false" customWidth="true" hidden="false" outlineLevel="0" max="20" min="6" style="0" width="9.5"/>
    <col collapsed="false" customWidth="true" hidden="false" outlineLevel="0" max="21" min="21" style="132" width="2.87"/>
    <col collapsed="false" customWidth="false" hidden="false" outlineLevel="0" max="257" min="22" style="132" width="9"/>
  </cols>
  <sheetData>
    <row r="1" customFormat="false" ht="22.5" hidden="false" customHeight="true" outlineLevel="0" collapsed="false">
      <c r="A1" s="169"/>
      <c r="B1" s="228"/>
      <c r="D1" s="229"/>
    </row>
    <row r="2" customFormat="false" ht="15" hidden="false" customHeight="true" outlineLevel="0" collapsed="false">
      <c r="A2" s="230" t="s">
        <v>113</v>
      </c>
      <c r="B2" s="230"/>
      <c r="C2" s="138" t="str">
        <f aca="false">FunctionList!E12</f>
        <v>DTC-DIM</v>
      </c>
      <c r="D2" s="138"/>
      <c r="E2" s="231"/>
      <c r="F2" s="232" t="s">
        <v>78</v>
      </c>
      <c r="G2" s="232"/>
      <c r="H2" s="232"/>
      <c r="I2" s="232"/>
      <c r="J2" s="232"/>
      <c r="K2" s="232"/>
      <c r="L2" s="233" t="str">
        <f aca="false">FunctionList!D12</f>
        <v>DaysInMonth</v>
      </c>
      <c r="M2" s="233"/>
      <c r="N2" s="233"/>
      <c r="O2" s="233"/>
      <c r="P2" s="233"/>
      <c r="Q2" s="233"/>
      <c r="R2" s="233"/>
      <c r="S2" s="233"/>
      <c r="T2" s="233"/>
    </row>
    <row r="3" customFormat="false" ht="13.5" hidden="false" customHeight="true" outlineLevel="0" collapsed="false">
      <c r="A3" s="234" t="s">
        <v>114</v>
      </c>
      <c r="B3" s="234"/>
      <c r="C3" s="143" t="s">
        <v>95</v>
      </c>
      <c r="D3" s="143"/>
      <c r="E3" s="143"/>
      <c r="F3" s="235" t="s">
        <v>115</v>
      </c>
      <c r="G3" s="235"/>
      <c r="H3" s="235"/>
      <c r="I3" s="235"/>
      <c r="J3" s="235"/>
      <c r="K3" s="235"/>
      <c r="L3" s="145" t="s">
        <v>116</v>
      </c>
      <c r="M3" s="145"/>
      <c r="N3" s="145"/>
      <c r="O3" s="146"/>
      <c r="P3" s="146"/>
      <c r="Q3" s="146"/>
      <c r="R3" s="146"/>
      <c r="S3" s="146"/>
      <c r="T3" s="147"/>
    </row>
    <row r="4" customFormat="false" ht="13.5" hidden="false" customHeight="true" outlineLevel="0" collapsed="false">
      <c r="A4" s="142" t="s">
        <v>117</v>
      </c>
      <c r="B4" s="142"/>
      <c r="C4" s="148"/>
      <c r="D4" s="148"/>
      <c r="E4" s="149"/>
      <c r="F4" s="144" t="s">
        <v>118</v>
      </c>
      <c r="G4" s="144"/>
      <c r="H4" s="144"/>
      <c r="I4" s="144"/>
      <c r="J4" s="144"/>
      <c r="K4" s="144"/>
      <c r="L4" s="150" t="str">
        <f aca="false">IF(FunctionList!E6&lt;&gt;"N/A",SUM(C4*FunctionList!E6/1000,-O7),"N/A")</f>
        <v>N/A</v>
      </c>
      <c r="M4" s="150"/>
      <c r="N4" s="150"/>
      <c r="O4" s="150"/>
      <c r="P4" s="150"/>
      <c r="Q4" s="150"/>
      <c r="R4" s="150"/>
      <c r="S4" s="150"/>
      <c r="T4" s="150"/>
      <c r="V4" s="141"/>
    </row>
    <row r="5" customFormat="false" ht="13.5" hidden="false" customHeight="true" outlineLevel="0" collapsed="false">
      <c r="A5" s="142" t="s">
        <v>119</v>
      </c>
      <c r="B5" s="142"/>
      <c r="C5" s="151" t="s">
        <v>155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</row>
    <row r="6" customFormat="false" ht="13.5" hidden="false" customHeight="true" outlineLevel="0" collapsed="false">
      <c r="A6" s="152" t="s">
        <v>100</v>
      </c>
      <c r="B6" s="152"/>
      <c r="C6" s="153" t="s">
        <v>101</v>
      </c>
      <c r="D6" s="153"/>
      <c r="E6" s="153"/>
      <c r="F6" s="153" t="s">
        <v>102</v>
      </c>
      <c r="G6" s="153"/>
      <c r="H6" s="153"/>
      <c r="I6" s="153"/>
      <c r="J6" s="153"/>
      <c r="K6" s="153"/>
      <c r="L6" s="154" t="s">
        <v>121</v>
      </c>
      <c r="M6" s="154"/>
      <c r="N6" s="154"/>
      <c r="O6" s="155" t="s">
        <v>105</v>
      </c>
      <c r="P6" s="155"/>
      <c r="Q6" s="155"/>
      <c r="R6" s="155"/>
      <c r="S6" s="155"/>
      <c r="T6" s="155"/>
      <c r="V6" s="141"/>
    </row>
    <row r="7" customFormat="false" ht="13.5" hidden="false" customHeight="true" outlineLevel="0" collapsed="false">
      <c r="A7" s="156" t="n">
        <f aca="false">COUNTIF(F46:HQ46,"P")</f>
        <v>0</v>
      </c>
      <c r="B7" s="156"/>
      <c r="C7" s="157" t="n">
        <f aca="false">COUNTIF(F46:HQ46,"F")</f>
        <v>0</v>
      </c>
      <c r="D7" s="157"/>
      <c r="E7" s="157"/>
      <c r="F7" s="157" t="n">
        <f aca="false">SUM(O7,-A7,-C7)</f>
        <v>15</v>
      </c>
      <c r="G7" s="157"/>
      <c r="H7" s="157"/>
      <c r="I7" s="157"/>
      <c r="J7" s="157"/>
      <c r="K7" s="157"/>
      <c r="L7" s="158" t="n">
        <f aca="false">COUNTIF(E45:HQ45,"N")</f>
        <v>4</v>
      </c>
      <c r="M7" s="158" t="n">
        <f aca="false">COUNTIF(E45:HQ45,"A")</f>
        <v>2</v>
      </c>
      <c r="N7" s="158" t="n">
        <f aca="false">COUNTIF(E45:HQ45,"B")</f>
        <v>9</v>
      </c>
      <c r="O7" s="159" t="n">
        <f aca="false">COUNTA(E9:HT9)</f>
        <v>15</v>
      </c>
      <c r="P7" s="159"/>
      <c r="Q7" s="159"/>
      <c r="R7" s="159"/>
      <c r="S7" s="159"/>
      <c r="T7" s="159"/>
      <c r="U7" s="160"/>
    </row>
    <row r="8" customFormat="false" ht="12" hidden="false" customHeight="true" outlineLevel="0" collapsed="false"/>
    <row r="9" customFormat="false" ht="45" hidden="false" customHeight="true" outlineLevel="0" collapsed="false">
      <c r="A9" s="236"/>
      <c r="B9" s="237"/>
      <c r="C9" s="238"/>
      <c r="D9" s="239"/>
      <c r="E9" s="238"/>
      <c r="F9" s="240" t="s">
        <v>156</v>
      </c>
      <c r="G9" s="240" t="s">
        <v>157</v>
      </c>
      <c r="H9" s="240" t="s">
        <v>158</v>
      </c>
      <c r="I9" s="240" t="s">
        <v>159</v>
      </c>
      <c r="J9" s="240" t="s">
        <v>160</v>
      </c>
      <c r="K9" s="240" t="s">
        <v>161</v>
      </c>
      <c r="L9" s="240" t="s">
        <v>162</v>
      </c>
      <c r="M9" s="240" t="s">
        <v>163</v>
      </c>
      <c r="N9" s="240" t="s">
        <v>164</v>
      </c>
      <c r="O9" s="240" t="s">
        <v>165</v>
      </c>
      <c r="P9" s="240" t="s">
        <v>166</v>
      </c>
      <c r="Q9" s="240" t="s">
        <v>167</v>
      </c>
      <c r="R9" s="240" t="s">
        <v>168</v>
      </c>
      <c r="S9" s="240" t="s">
        <v>169</v>
      </c>
      <c r="T9" s="241" t="s">
        <v>170</v>
      </c>
      <c r="U9" s="167"/>
      <c r="V9" s="168"/>
      <c r="W9" s="169"/>
    </row>
    <row r="10" customFormat="false" ht="13.5" hidden="false" customHeight="true" outlineLevel="0" collapsed="false">
      <c r="A10" s="170" t="s">
        <v>137</v>
      </c>
      <c r="B10" s="178" t="s">
        <v>138</v>
      </c>
      <c r="C10" s="179"/>
      <c r="D10" s="180"/>
      <c r="E10" s="242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4"/>
    </row>
    <row r="11" customFormat="false" ht="13.5" hidden="false" customHeight="true" outlineLevel="0" collapsed="false">
      <c r="A11" s="177"/>
      <c r="B11" s="178"/>
      <c r="C11" s="179"/>
      <c r="D11" s="180" t="s">
        <v>139</v>
      </c>
      <c r="E11" s="174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4"/>
      <c r="V11" s="141"/>
    </row>
    <row r="12" customFormat="false" ht="13.5" hidden="false" customHeight="true" outlineLevel="0" collapsed="false">
      <c r="A12" s="177"/>
      <c r="B12" s="178"/>
      <c r="C12" s="179"/>
      <c r="D12" s="180"/>
      <c r="E12" s="174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4"/>
    </row>
    <row r="13" customFormat="false" ht="13.5" hidden="false" customHeight="true" outlineLevel="0" collapsed="false">
      <c r="A13" s="177"/>
      <c r="B13" s="178"/>
      <c r="C13" s="179"/>
      <c r="D13" s="180"/>
      <c r="E13" s="18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4"/>
      <c r="V13" s="141"/>
    </row>
    <row r="14" customFormat="false" ht="13.5" hidden="false" customHeight="true" outlineLevel="0" collapsed="false">
      <c r="A14" s="177"/>
      <c r="B14" s="178" t="s">
        <v>142</v>
      </c>
      <c r="C14" s="179"/>
      <c r="D14" s="180"/>
      <c r="E14" s="184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4"/>
    </row>
    <row r="15" customFormat="false" ht="13.5" hidden="false" customHeight="true" outlineLevel="0" collapsed="false">
      <c r="A15" s="177"/>
      <c r="B15" s="178"/>
      <c r="C15" s="179"/>
      <c r="D15" s="180" t="n">
        <v>2</v>
      </c>
      <c r="E15" s="184"/>
      <c r="F15" s="243"/>
      <c r="G15" s="181"/>
      <c r="H15" s="243" t="s">
        <v>141</v>
      </c>
      <c r="I15" s="243" t="s">
        <v>141</v>
      </c>
      <c r="J15" s="243" t="s">
        <v>141</v>
      </c>
      <c r="K15" s="243" t="s">
        <v>141</v>
      </c>
      <c r="L15" s="243" t="s">
        <v>141</v>
      </c>
      <c r="M15" s="243" t="s">
        <v>141</v>
      </c>
      <c r="N15" s="243" t="s">
        <v>141</v>
      </c>
      <c r="O15" s="243" t="s">
        <v>141</v>
      </c>
      <c r="P15" s="243"/>
      <c r="Q15" s="243"/>
      <c r="R15" s="243" t="s">
        <v>141</v>
      </c>
      <c r="S15" s="243" t="s">
        <v>141</v>
      </c>
      <c r="T15" s="244" t="s">
        <v>141</v>
      </c>
    </row>
    <row r="16" customFormat="false" ht="13.5" hidden="false" customHeight="true" outlineLevel="0" collapsed="false">
      <c r="A16" s="177"/>
      <c r="B16" s="178"/>
      <c r="C16" s="179"/>
      <c r="D16" s="180" t="n">
        <v>1</v>
      </c>
      <c r="E16" s="184"/>
      <c r="F16" s="243" t="s">
        <v>141</v>
      </c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4"/>
    </row>
    <row r="17" customFormat="false" ht="13.5" hidden="false" customHeight="true" outlineLevel="0" collapsed="false">
      <c r="A17" s="177"/>
      <c r="B17" s="178"/>
      <c r="C17" s="179"/>
      <c r="D17" s="180" t="n">
        <v>4</v>
      </c>
      <c r="E17" s="184"/>
      <c r="F17" s="181"/>
      <c r="G17" s="243" t="s">
        <v>141</v>
      </c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4"/>
    </row>
    <row r="18" customFormat="false" ht="13.5" hidden="false" customHeight="true" outlineLevel="0" collapsed="false">
      <c r="A18" s="177"/>
      <c r="B18" s="178"/>
      <c r="C18" s="179"/>
      <c r="D18" s="180" t="n">
        <v>0</v>
      </c>
      <c r="E18" s="184"/>
      <c r="F18" s="181"/>
      <c r="G18" s="243"/>
      <c r="H18" s="243"/>
      <c r="I18" s="243"/>
      <c r="J18" s="243"/>
      <c r="K18" s="243"/>
      <c r="L18" s="243"/>
      <c r="M18" s="243"/>
      <c r="N18" s="243"/>
      <c r="O18" s="243"/>
      <c r="P18" s="243" t="s">
        <v>141</v>
      </c>
      <c r="Q18" s="243"/>
      <c r="R18" s="243"/>
      <c r="S18" s="243"/>
      <c r="T18" s="244"/>
    </row>
    <row r="19" customFormat="false" ht="13.5" hidden="false" customHeight="true" outlineLevel="0" collapsed="false">
      <c r="A19" s="177"/>
      <c r="B19" s="178"/>
      <c r="C19" s="179"/>
      <c r="D19" s="180" t="n">
        <v>13</v>
      </c>
      <c r="E19" s="184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 t="s">
        <v>141</v>
      </c>
      <c r="R19" s="243"/>
      <c r="S19" s="243"/>
      <c r="T19" s="244"/>
      <c r="U19" s="245"/>
    </row>
    <row r="20" customFormat="false" ht="13.5" hidden="false" customHeight="true" outlineLevel="0" collapsed="false">
      <c r="A20" s="177"/>
      <c r="B20" s="178" t="s">
        <v>143</v>
      </c>
      <c r="C20" s="179"/>
      <c r="D20" s="180"/>
      <c r="E20" s="184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4"/>
      <c r="U20" s="245"/>
    </row>
    <row r="21" customFormat="false" ht="13.5" hidden="false" customHeight="true" outlineLevel="0" collapsed="false">
      <c r="A21" s="177"/>
      <c r="B21" s="178"/>
      <c r="C21" s="179"/>
      <c r="D21" s="186" t="n">
        <v>2023</v>
      </c>
      <c r="E21" s="186"/>
      <c r="F21" s="243" t="s">
        <v>141</v>
      </c>
      <c r="G21" s="243" t="s">
        <v>141</v>
      </c>
      <c r="H21" s="243" t="s">
        <v>141</v>
      </c>
      <c r="I21" s="243"/>
      <c r="J21" s="243"/>
      <c r="K21" s="243"/>
      <c r="L21" s="243"/>
      <c r="M21" s="243"/>
      <c r="N21" s="243"/>
      <c r="O21" s="243"/>
      <c r="P21" s="243" t="s">
        <v>141</v>
      </c>
      <c r="Q21" s="243" t="s">
        <v>141</v>
      </c>
      <c r="R21" s="243"/>
      <c r="S21" s="243"/>
      <c r="T21" s="244"/>
    </row>
    <row r="22" customFormat="false" ht="13.5" hidden="false" customHeight="true" outlineLevel="0" collapsed="false">
      <c r="A22" s="177"/>
      <c r="B22" s="178"/>
      <c r="C22" s="179"/>
      <c r="D22" s="180" t="n">
        <v>2024</v>
      </c>
      <c r="E22" s="184"/>
      <c r="F22" s="243"/>
      <c r="G22" s="181"/>
      <c r="H22" s="243"/>
      <c r="I22" s="243" t="s">
        <v>141</v>
      </c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4"/>
    </row>
    <row r="23" customFormat="false" ht="13.5" hidden="false" customHeight="true" outlineLevel="0" collapsed="false">
      <c r="A23" s="177"/>
      <c r="B23" s="178"/>
      <c r="C23" s="179"/>
      <c r="D23" s="180" t="n">
        <v>2000</v>
      </c>
      <c r="E23" s="184"/>
      <c r="F23" s="243"/>
      <c r="G23" s="243"/>
      <c r="H23" s="243"/>
      <c r="I23" s="243"/>
      <c r="J23" s="243" t="s">
        <v>141</v>
      </c>
      <c r="K23" s="243"/>
      <c r="L23" s="243"/>
      <c r="M23" s="243"/>
      <c r="N23" s="243"/>
      <c r="O23" s="243"/>
      <c r="P23" s="243"/>
      <c r="Q23" s="243"/>
      <c r="R23" s="243"/>
      <c r="S23" s="243"/>
      <c r="T23" s="244"/>
    </row>
    <row r="24" customFormat="false" ht="13.5" hidden="false" customHeight="true" outlineLevel="0" collapsed="false">
      <c r="A24" s="177"/>
      <c r="B24" s="178"/>
      <c r="C24" s="179"/>
      <c r="D24" s="180" t="n">
        <v>1900</v>
      </c>
      <c r="E24" s="184"/>
      <c r="F24" s="243"/>
      <c r="G24" s="243"/>
      <c r="H24" s="181"/>
      <c r="I24" s="243"/>
      <c r="J24" s="243"/>
      <c r="K24" s="243" t="s">
        <v>141</v>
      </c>
      <c r="L24" s="243"/>
      <c r="M24" s="243"/>
      <c r="N24" s="243"/>
      <c r="O24" s="243"/>
      <c r="P24" s="243"/>
      <c r="Q24" s="243"/>
      <c r="R24" s="243"/>
      <c r="S24" s="243"/>
      <c r="T24" s="244"/>
    </row>
    <row r="25" customFormat="false" ht="13.5" hidden="false" customHeight="true" outlineLevel="0" collapsed="false">
      <c r="A25" s="177"/>
      <c r="B25" s="178"/>
      <c r="C25" s="179"/>
      <c r="D25" s="180" t="n">
        <v>2100</v>
      </c>
      <c r="E25" s="184"/>
      <c r="F25" s="243"/>
      <c r="G25" s="243"/>
      <c r="H25" s="243"/>
      <c r="I25" s="243"/>
      <c r="J25" s="243"/>
      <c r="K25" s="243"/>
      <c r="L25" s="243" t="s">
        <v>141</v>
      </c>
      <c r="M25" s="243"/>
      <c r="N25" s="243"/>
      <c r="O25" s="243"/>
      <c r="P25" s="243"/>
      <c r="Q25" s="243"/>
      <c r="R25" s="243"/>
      <c r="S25" s="243"/>
      <c r="T25" s="244"/>
    </row>
    <row r="26" customFormat="false" ht="13.5" hidden="false" customHeight="true" outlineLevel="0" collapsed="false">
      <c r="A26" s="177"/>
      <c r="B26" s="178"/>
      <c r="C26" s="179"/>
      <c r="D26" s="180" t="n">
        <v>2400</v>
      </c>
      <c r="E26" s="184"/>
      <c r="F26" s="243"/>
      <c r="G26" s="243"/>
      <c r="H26" s="243"/>
      <c r="I26" s="243"/>
      <c r="J26" s="243"/>
      <c r="K26" s="243"/>
      <c r="L26" s="243"/>
      <c r="M26" s="243" t="s">
        <v>141</v>
      </c>
      <c r="N26" s="243"/>
      <c r="O26" s="243"/>
      <c r="P26" s="243"/>
      <c r="Q26" s="243"/>
      <c r="R26" s="243"/>
      <c r="S26" s="243"/>
      <c r="T26" s="244"/>
    </row>
    <row r="27" customFormat="false" ht="13.5" hidden="false" customHeight="true" outlineLevel="0" collapsed="false">
      <c r="A27" s="177"/>
      <c r="B27" s="178"/>
      <c r="C27" s="179"/>
      <c r="D27" s="180" t="n">
        <v>2004</v>
      </c>
      <c r="E27" s="184"/>
      <c r="F27" s="243"/>
      <c r="G27" s="243"/>
      <c r="H27" s="243"/>
      <c r="I27" s="243"/>
      <c r="J27" s="243"/>
      <c r="K27" s="243"/>
      <c r="L27" s="243"/>
      <c r="M27" s="243"/>
      <c r="N27" s="243" t="s">
        <v>141</v>
      </c>
      <c r="O27" s="243"/>
      <c r="P27" s="243"/>
      <c r="Q27" s="243"/>
      <c r="R27" s="243"/>
      <c r="S27" s="243"/>
      <c r="T27" s="244"/>
    </row>
    <row r="28" customFormat="false" ht="13.5" hidden="false" customHeight="true" outlineLevel="0" collapsed="false">
      <c r="A28" s="177"/>
      <c r="B28" s="178"/>
      <c r="C28" s="179"/>
      <c r="D28" s="180" t="n">
        <v>2001</v>
      </c>
      <c r="E28" s="184"/>
      <c r="F28" s="243"/>
      <c r="G28" s="243"/>
      <c r="H28" s="243"/>
      <c r="I28" s="243"/>
      <c r="J28" s="243"/>
      <c r="K28" s="243"/>
      <c r="L28" s="243"/>
      <c r="M28" s="243"/>
      <c r="N28" s="243"/>
      <c r="O28" s="243" t="s">
        <v>141</v>
      </c>
      <c r="P28" s="243"/>
      <c r="Q28" s="243"/>
      <c r="R28" s="243"/>
      <c r="S28" s="243"/>
      <c r="T28" s="244"/>
    </row>
    <row r="29" customFormat="false" ht="13.5" hidden="false" customHeight="true" outlineLevel="0" collapsed="false">
      <c r="A29" s="177"/>
      <c r="B29" s="178"/>
      <c r="C29" s="179"/>
      <c r="D29" s="180" t="n">
        <v>1000</v>
      </c>
      <c r="E29" s="184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 t="s">
        <v>141</v>
      </c>
      <c r="S29" s="243"/>
      <c r="T29" s="244"/>
    </row>
    <row r="30" customFormat="false" ht="13.5" hidden="false" customHeight="true" outlineLevel="0" collapsed="false">
      <c r="A30" s="177"/>
      <c r="B30" s="178"/>
      <c r="C30" s="179"/>
      <c r="D30" s="180" t="n">
        <v>3000</v>
      </c>
      <c r="E30" s="184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 t="s">
        <v>141</v>
      </c>
      <c r="T30" s="244"/>
    </row>
    <row r="31" customFormat="false" ht="13.5" hidden="false" customHeight="true" outlineLevel="0" collapsed="false">
      <c r="A31" s="177"/>
      <c r="B31" s="178"/>
      <c r="C31" s="179"/>
      <c r="D31" s="180" t="n">
        <v>1</v>
      </c>
      <c r="E31" s="184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4"/>
    </row>
    <row r="32" customFormat="false" ht="13.5" hidden="false" customHeight="true" outlineLevel="0" collapsed="false">
      <c r="A32" s="177"/>
      <c r="B32" s="187"/>
      <c r="C32" s="188"/>
      <c r="D32" s="189" t="n">
        <v>65535</v>
      </c>
      <c r="E32" s="190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7" t="s">
        <v>141</v>
      </c>
    </row>
    <row r="33" customFormat="false" ht="13.5" hidden="false" customHeight="true" outlineLevel="0" collapsed="false">
      <c r="A33" s="193" t="s">
        <v>144</v>
      </c>
      <c r="B33" s="194" t="s">
        <v>145</v>
      </c>
      <c r="C33" s="195"/>
      <c r="D33" s="196"/>
      <c r="E33" s="197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9"/>
    </row>
    <row r="34" customFormat="false" ht="13.5" hidden="false" customHeight="true" outlineLevel="0" collapsed="false">
      <c r="A34" s="198"/>
      <c r="B34" s="194"/>
      <c r="C34" s="195"/>
      <c r="D34" s="196" t="n">
        <v>0</v>
      </c>
      <c r="E34" s="197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 t="s">
        <v>141</v>
      </c>
      <c r="Q34" s="248" t="s">
        <v>141</v>
      </c>
      <c r="R34" s="248"/>
      <c r="S34" s="248"/>
      <c r="T34" s="249"/>
    </row>
    <row r="35" customFormat="false" ht="13.5" hidden="false" customHeight="true" outlineLevel="0" collapsed="false">
      <c r="A35" s="198"/>
      <c r="B35" s="199"/>
      <c r="C35" s="200"/>
      <c r="D35" s="201"/>
      <c r="E35" s="202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4"/>
    </row>
    <row r="36" customFormat="false" ht="13.5" hidden="false" customHeight="true" outlineLevel="0" collapsed="false">
      <c r="A36" s="198"/>
      <c r="B36" s="199"/>
      <c r="C36" s="200"/>
      <c r="D36" s="201" t="n">
        <v>29</v>
      </c>
      <c r="E36" s="202"/>
      <c r="F36" s="243"/>
      <c r="G36" s="243"/>
      <c r="H36" s="243"/>
      <c r="I36" s="243" t="s">
        <v>141</v>
      </c>
      <c r="J36" s="243" t="s">
        <v>141</v>
      </c>
      <c r="K36" s="243"/>
      <c r="L36" s="243"/>
      <c r="M36" s="243" t="s">
        <v>141</v>
      </c>
      <c r="N36" s="243" t="s">
        <v>141</v>
      </c>
      <c r="O36" s="243"/>
      <c r="P36" s="243"/>
      <c r="Q36" s="243"/>
      <c r="R36" s="243"/>
      <c r="S36" s="243"/>
      <c r="T36" s="244"/>
    </row>
    <row r="37" customFormat="false" ht="13.5" hidden="false" customHeight="true" outlineLevel="0" collapsed="false">
      <c r="A37" s="198"/>
      <c r="B37" s="199"/>
      <c r="C37" s="200"/>
      <c r="D37" s="201" t="n">
        <v>30</v>
      </c>
      <c r="E37" s="202"/>
      <c r="F37" s="243"/>
      <c r="G37" s="243" t="s">
        <v>141</v>
      </c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4"/>
    </row>
    <row r="38" customFormat="false" ht="13.5" hidden="false" customHeight="true" outlineLevel="0" collapsed="false">
      <c r="A38" s="198"/>
      <c r="B38" s="199"/>
      <c r="C38" s="250"/>
      <c r="D38" s="201" t="n">
        <v>28</v>
      </c>
      <c r="E38" s="204"/>
      <c r="F38" s="243"/>
      <c r="G38" s="181"/>
      <c r="H38" s="243" t="s">
        <v>141</v>
      </c>
      <c r="I38" s="243"/>
      <c r="J38" s="243"/>
      <c r="K38" s="243" t="s">
        <v>141</v>
      </c>
      <c r="L38" s="243" t="s">
        <v>141</v>
      </c>
      <c r="M38" s="243"/>
      <c r="N38" s="243"/>
      <c r="O38" s="243" t="s">
        <v>141</v>
      </c>
      <c r="P38" s="243"/>
      <c r="Q38" s="243"/>
      <c r="R38" s="243" t="s">
        <v>141</v>
      </c>
      <c r="S38" s="243" t="s">
        <v>141</v>
      </c>
      <c r="T38" s="244" t="s">
        <v>141</v>
      </c>
    </row>
    <row r="39" customFormat="false" ht="13.5" hidden="false" customHeight="true" outlineLevel="0" collapsed="false">
      <c r="A39" s="198"/>
      <c r="B39" s="199"/>
      <c r="C39" s="250"/>
      <c r="D39" s="201" t="n">
        <v>31</v>
      </c>
      <c r="E39" s="204"/>
      <c r="F39" s="243" t="s">
        <v>141</v>
      </c>
      <c r="G39" s="181"/>
      <c r="H39" s="18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4"/>
    </row>
    <row r="40" customFormat="false" ht="13.5" hidden="false" customHeight="true" outlineLevel="0" collapsed="false">
      <c r="A40" s="198"/>
      <c r="B40" s="199" t="s">
        <v>148</v>
      </c>
      <c r="C40" s="250"/>
      <c r="D40" s="201"/>
      <c r="E40" s="204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4"/>
    </row>
    <row r="41" customFormat="false" ht="13.5" hidden="false" customHeight="true" outlineLevel="0" collapsed="false">
      <c r="A41" s="198"/>
      <c r="B41" s="199"/>
      <c r="C41" s="250"/>
      <c r="D41" s="201"/>
      <c r="E41" s="204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4"/>
    </row>
    <row r="42" customFormat="false" ht="13.5" hidden="false" customHeight="true" outlineLevel="0" collapsed="false">
      <c r="A42" s="198"/>
      <c r="B42" s="199" t="s">
        <v>149</v>
      </c>
      <c r="C42" s="250"/>
      <c r="D42" s="201"/>
      <c r="E42" s="204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</row>
    <row r="43" customFormat="false" ht="13.5" hidden="false" customHeight="true" outlineLevel="0" collapsed="false">
      <c r="A43" s="198"/>
      <c r="B43" s="199"/>
      <c r="C43" s="250"/>
      <c r="D43" s="201"/>
      <c r="E43" s="204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4"/>
    </row>
    <row r="44" customFormat="false" ht="13.5" hidden="false" customHeight="true" outlineLevel="0" collapsed="false">
      <c r="A44" s="198"/>
      <c r="B44" s="205"/>
      <c r="C44" s="206"/>
      <c r="D44" s="207"/>
      <c r="E44" s="208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2"/>
    </row>
    <row r="45" customFormat="false" ht="13.5" hidden="false" customHeight="true" outlineLevel="0" collapsed="false">
      <c r="A45" s="193" t="s">
        <v>150</v>
      </c>
      <c r="B45" s="211" t="s">
        <v>151</v>
      </c>
      <c r="C45" s="211"/>
      <c r="D45" s="211"/>
      <c r="E45" s="211"/>
      <c r="F45" s="253" t="s">
        <v>104</v>
      </c>
      <c r="G45" s="253" t="s">
        <v>103</v>
      </c>
      <c r="H45" s="253" t="s">
        <v>103</v>
      </c>
      <c r="I45" s="253" t="s">
        <v>104</v>
      </c>
      <c r="J45" s="253" t="s">
        <v>104</v>
      </c>
      <c r="K45" s="253" t="s">
        <v>104</v>
      </c>
      <c r="L45" s="253" t="s">
        <v>104</v>
      </c>
      <c r="M45" s="253" t="s">
        <v>104</v>
      </c>
      <c r="N45" s="253" t="s">
        <v>103</v>
      </c>
      <c r="O45" s="253" t="s">
        <v>103</v>
      </c>
      <c r="P45" s="253" t="s">
        <v>67</v>
      </c>
      <c r="Q45" s="253" t="s">
        <v>67</v>
      </c>
      <c r="R45" s="253" t="s">
        <v>104</v>
      </c>
      <c r="S45" s="253" t="s">
        <v>104</v>
      </c>
      <c r="T45" s="254" t="s">
        <v>104</v>
      </c>
    </row>
    <row r="46" customFormat="false" ht="13.5" hidden="false" customHeight="true" outlineLevel="0" collapsed="false">
      <c r="A46" s="198"/>
      <c r="B46" s="214" t="s">
        <v>152</v>
      </c>
      <c r="C46" s="214"/>
      <c r="D46" s="214"/>
      <c r="E46" s="21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6"/>
    </row>
    <row r="47" customFormat="false" ht="13.5" hidden="false" customHeight="true" outlineLevel="0" collapsed="false">
      <c r="A47" s="198"/>
      <c r="B47" s="218" t="s">
        <v>153</v>
      </c>
      <c r="C47" s="218"/>
      <c r="D47" s="218"/>
      <c r="E47" s="219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1"/>
    </row>
    <row r="48" customFormat="false" ht="79.5" hidden="false" customHeight="true" outlineLevel="0" collapsed="false">
      <c r="A48" s="222"/>
      <c r="B48" s="223" t="s">
        <v>154</v>
      </c>
      <c r="C48" s="223"/>
      <c r="D48" s="223"/>
      <c r="E48" s="224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6"/>
    </row>
    <row r="49" customFormat="false" ht="12" hidden="false" customHeight="true" outlineLevel="0" collapsed="false">
      <c r="A49" s="133"/>
      <c r="B49" s="132"/>
      <c r="C49" s="134"/>
      <c r="D49" s="132"/>
    </row>
  </sheetData>
  <mergeCells count="28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21:E21"/>
    <mergeCell ref="B45:D45"/>
    <mergeCell ref="B46:D46"/>
    <mergeCell ref="B47:D47"/>
    <mergeCell ref="B48:D48"/>
  </mergeCells>
  <dataValidations count="3">
    <dataValidation allowBlank="true" errorStyle="stop" operator="between" showDropDown="false" showErrorMessage="true" showInputMessage="false" sqref="F45:T45" type="list">
      <formula1>"N,A,B,"</formula1>
      <formula2>0</formula2>
    </dataValidation>
    <dataValidation allowBlank="true" errorStyle="stop" operator="between" showDropDown="false" showErrorMessage="true" showInputMessage="false" sqref="F46:T46" type="list">
      <formula1>"P,F,"</formula1>
      <formula2>0</formula2>
    </dataValidation>
    <dataValidation allowBlank="true" errorStyle="stop" operator="between" showDropDown="false" showErrorMessage="true" showInputMessage="false" sqref="F10:T44" type="list">
      <formula1>"O,"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257" width="6.88"/>
    <col collapsed="false" customWidth="true" hidden="false" outlineLevel="0" max="2" min="2" style="258" width="13.37"/>
    <col collapsed="false" customWidth="true" hidden="false" outlineLevel="0" max="3" min="3" style="257" width="10.87"/>
    <col collapsed="false" customWidth="true" hidden="false" outlineLevel="0" max="4" min="4" style="259" width="11.37"/>
    <col collapsed="false" customWidth="true" hidden="true" outlineLevel="0" max="5" min="5" style="257" width="1.87"/>
    <col collapsed="false" customWidth="true" hidden="false" outlineLevel="0" max="21" min="6" style="257" width="2.87"/>
    <col collapsed="false" customWidth="false" hidden="false" outlineLevel="0" max="257" min="22" style="257" width="9"/>
  </cols>
  <sheetData>
    <row r="1" customFormat="false" ht="13.5" hidden="false" customHeight="true" outlineLevel="0" collapsed="false">
      <c r="A1" s="260"/>
      <c r="B1" s="261"/>
    </row>
    <row r="2" customFormat="false" ht="13.5" hidden="false" customHeight="true" outlineLevel="0" collapsed="false">
      <c r="A2" s="230" t="s">
        <v>113</v>
      </c>
      <c r="B2" s="230"/>
      <c r="C2" s="138" t="n">
        <f aca="false">FunctionList!E13</f>
        <v>0</v>
      </c>
      <c r="D2" s="138"/>
      <c r="F2" s="232" t="s">
        <v>78</v>
      </c>
      <c r="G2" s="232"/>
      <c r="H2" s="232"/>
      <c r="I2" s="232"/>
      <c r="J2" s="232"/>
      <c r="K2" s="232"/>
      <c r="L2" s="233" t="n">
        <f aca="false">FunctionList!D13</f>
        <v>0</v>
      </c>
      <c r="M2" s="233"/>
      <c r="N2" s="233"/>
      <c r="O2" s="233"/>
      <c r="P2" s="233"/>
      <c r="Q2" s="233"/>
      <c r="R2" s="233"/>
      <c r="S2" s="233"/>
      <c r="T2" s="233"/>
    </row>
    <row r="3" customFormat="false" ht="13.5" hidden="false" customHeight="true" outlineLevel="0" collapsed="false">
      <c r="A3" s="262" t="s">
        <v>114</v>
      </c>
      <c r="B3" s="262"/>
      <c r="C3" s="263" t="s">
        <v>171</v>
      </c>
      <c r="D3" s="263"/>
      <c r="E3" s="263"/>
      <c r="F3" s="264" t="s">
        <v>115</v>
      </c>
      <c r="G3" s="264"/>
      <c r="H3" s="264"/>
      <c r="I3" s="264"/>
      <c r="J3" s="264"/>
      <c r="K3" s="264"/>
      <c r="L3" s="265"/>
      <c r="M3" s="265"/>
      <c r="N3" s="265"/>
      <c r="O3" s="266"/>
      <c r="P3" s="266"/>
      <c r="Q3" s="266"/>
      <c r="R3" s="266"/>
      <c r="S3" s="266"/>
      <c r="T3" s="267"/>
    </row>
    <row r="4" customFormat="false" ht="13.5" hidden="false" customHeight="true" outlineLevel="0" collapsed="false">
      <c r="A4" s="262" t="s">
        <v>117</v>
      </c>
      <c r="B4" s="262"/>
      <c r="C4" s="268" t="n">
        <v>300</v>
      </c>
      <c r="D4" s="268"/>
      <c r="E4" s="269"/>
      <c r="F4" s="264" t="s">
        <v>118</v>
      </c>
      <c r="G4" s="264"/>
      <c r="H4" s="264"/>
      <c r="I4" s="264"/>
      <c r="J4" s="264"/>
      <c r="K4" s="264"/>
      <c r="L4" s="270" t="str">
        <f aca="false">IF(FunctionList!E6&lt;&gt;"N/A",SUM(C4*FunctionList!E6/1000,-O7),"N/A")</f>
        <v>N/A</v>
      </c>
      <c r="M4" s="270"/>
      <c r="N4" s="270"/>
      <c r="O4" s="270"/>
      <c r="P4" s="270"/>
      <c r="Q4" s="270"/>
      <c r="R4" s="270"/>
      <c r="S4" s="270"/>
      <c r="T4" s="270"/>
      <c r="V4" s="271"/>
    </row>
    <row r="5" customFormat="false" ht="13.5" hidden="false" customHeight="true" outlineLevel="0" collapsed="false">
      <c r="A5" s="262" t="s">
        <v>119</v>
      </c>
      <c r="B5" s="262"/>
      <c r="C5" s="272" t="s">
        <v>172</v>
      </c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</row>
    <row r="6" customFormat="false" ht="13.5" hidden="false" customHeight="true" outlineLevel="0" collapsed="false">
      <c r="A6" s="273" t="s">
        <v>100</v>
      </c>
      <c r="B6" s="273"/>
      <c r="C6" s="274" t="s">
        <v>101</v>
      </c>
      <c r="D6" s="274"/>
      <c r="E6" s="274"/>
      <c r="F6" s="274" t="s">
        <v>102</v>
      </c>
      <c r="G6" s="274"/>
      <c r="H6" s="274"/>
      <c r="I6" s="274"/>
      <c r="J6" s="274"/>
      <c r="K6" s="274"/>
      <c r="L6" s="275" t="s">
        <v>121</v>
      </c>
      <c r="M6" s="275"/>
      <c r="N6" s="275"/>
      <c r="O6" s="276" t="s">
        <v>105</v>
      </c>
      <c r="P6" s="276"/>
      <c r="Q6" s="276"/>
      <c r="R6" s="276"/>
      <c r="S6" s="276"/>
      <c r="T6" s="276"/>
      <c r="V6" s="271"/>
    </row>
    <row r="7" customFormat="false" ht="13.5" hidden="false" customHeight="true" outlineLevel="0" collapsed="false">
      <c r="A7" s="277" t="n">
        <f aca="false">COUNTIF(F40:HQ40,"P")</f>
        <v>0</v>
      </c>
      <c r="B7" s="277"/>
      <c r="C7" s="278" t="n">
        <f aca="false">COUNTIF(F40:HQ40,"F")</f>
        <v>0</v>
      </c>
      <c r="D7" s="278"/>
      <c r="E7" s="278"/>
      <c r="F7" s="278" t="n">
        <f aca="false">SUM(O7,-A7,-C7)</f>
        <v>0</v>
      </c>
      <c r="G7" s="278"/>
      <c r="H7" s="278"/>
      <c r="I7" s="278"/>
      <c r="J7" s="278"/>
      <c r="K7" s="278"/>
      <c r="L7" s="279" t="n">
        <f aca="false">COUNTIF(E39:HQ39,"N")</f>
        <v>0</v>
      </c>
      <c r="M7" s="279" t="n">
        <f aca="false">COUNTIF(E39:HQ39,"A")</f>
        <v>0</v>
      </c>
      <c r="N7" s="279" t="n">
        <f aca="false">COUNTIF(E39:HQ39,"B")</f>
        <v>0</v>
      </c>
      <c r="O7" s="280" t="n">
        <f aca="false">COUNTA(E9:HT9)</f>
        <v>0</v>
      </c>
      <c r="P7" s="280"/>
      <c r="Q7" s="280"/>
      <c r="R7" s="280"/>
      <c r="S7" s="280"/>
      <c r="T7" s="280"/>
      <c r="U7" s="281"/>
    </row>
    <row r="8" customFormat="false" ht="12" hidden="false" customHeight="true" outlineLevel="0" collapsed="false"/>
    <row r="9" customFormat="false" ht="46.5" hidden="false" customHeight="true" outlineLevel="0" collapsed="false">
      <c r="A9" s="282"/>
      <c r="B9" s="283"/>
      <c r="C9" s="284"/>
      <c r="D9" s="285"/>
      <c r="E9" s="284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7"/>
      <c r="U9" s="288"/>
      <c r="V9" s="289"/>
      <c r="W9" s="260"/>
    </row>
    <row r="10" customFormat="false" ht="13.5" hidden="false" customHeight="true" outlineLevel="0" collapsed="false">
      <c r="A10" s="290" t="s">
        <v>137</v>
      </c>
      <c r="B10" s="291" t="s">
        <v>138</v>
      </c>
      <c r="C10" s="292"/>
      <c r="D10" s="293"/>
      <c r="E10" s="294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6"/>
    </row>
    <row r="11" customFormat="false" ht="13.5" hidden="false" customHeight="true" outlineLevel="0" collapsed="false">
      <c r="A11" s="297"/>
      <c r="B11" s="291"/>
      <c r="C11" s="292"/>
      <c r="D11" s="293" t="s">
        <v>173</v>
      </c>
      <c r="E11" s="298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6"/>
      <c r="V11" s="271"/>
    </row>
    <row r="12" customFormat="false" ht="13.5" hidden="false" customHeight="true" outlineLevel="0" collapsed="false">
      <c r="A12" s="297"/>
      <c r="B12" s="291"/>
      <c r="C12" s="292"/>
      <c r="D12" s="293"/>
      <c r="E12" s="298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6"/>
    </row>
    <row r="13" customFormat="false" ht="13.5" hidden="false" customHeight="true" outlineLevel="0" collapsed="false">
      <c r="A13" s="297"/>
      <c r="B13" s="291"/>
      <c r="C13" s="292"/>
      <c r="D13" s="293"/>
      <c r="E13" s="299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6"/>
    </row>
    <row r="14" customFormat="false" ht="13.5" hidden="false" customHeight="true" outlineLevel="0" collapsed="false">
      <c r="A14" s="297"/>
      <c r="B14" s="291" t="s">
        <v>174</v>
      </c>
      <c r="C14" s="292"/>
      <c r="D14" s="293"/>
      <c r="E14" s="300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6"/>
    </row>
    <row r="15" customFormat="false" ht="13.5" hidden="false" customHeight="true" outlineLevel="0" collapsed="false">
      <c r="A15" s="297"/>
      <c r="B15" s="291"/>
      <c r="C15" s="292"/>
      <c r="D15" s="293" t="s">
        <v>175</v>
      </c>
      <c r="E15" s="300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6"/>
      <c r="W15" s="271"/>
    </row>
    <row r="16" customFormat="false" ht="13.5" hidden="false" customHeight="true" outlineLevel="0" collapsed="false">
      <c r="A16" s="297"/>
      <c r="B16" s="291"/>
      <c r="C16" s="292"/>
      <c r="D16" s="293" t="s">
        <v>176</v>
      </c>
      <c r="E16" s="300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6"/>
    </row>
    <row r="17" customFormat="false" ht="13.5" hidden="false" customHeight="true" outlineLevel="0" collapsed="false">
      <c r="A17" s="297"/>
      <c r="B17" s="291"/>
      <c r="C17" s="292"/>
      <c r="D17" s="293" t="s">
        <v>177</v>
      </c>
      <c r="E17" s="300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6"/>
      <c r="U17" s="301"/>
    </row>
    <row r="18" customFormat="false" ht="13.5" hidden="false" customHeight="true" outlineLevel="0" collapsed="false">
      <c r="A18" s="297"/>
      <c r="B18" s="291" t="s">
        <v>178</v>
      </c>
      <c r="C18" s="292"/>
      <c r="D18" s="293"/>
      <c r="E18" s="300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6"/>
      <c r="U18" s="301"/>
    </row>
    <row r="19" customFormat="false" ht="13.5" hidden="false" customHeight="true" outlineLevel="0" collapsed="false">
      <c r="A19" s="297"/>
      <c r="B19" s="291"/>
      <c r="C19" s="292"/>
      <c r="D19" s="302" t="s">
        <v>179</v>
      </c>
      <c r="E19" s="302"/>
      <c r="F19" s="295"/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6"/>
    </row>
    <row r="20" customFormat="false" ht="13.5" hidden="false" customHeight="true" outlineLevel="0" collapsed="false">
      <c r="A20" s="297"/>
      <c r="B20" s="291"/>
      <c r="C20" s="292"/>
      <c r="D20" s="293" t="n">
        <v>5</v>
      </c>
      <c r="E20" s="300"/>
      <c r="F20" s="295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6"/>
    </row>
    <row r="21" customFormat="false" ht="13.5" hidden="false" customHeight="true" outlineLevel="0" collapsed="false">
      <c r="A21" s="297"/>
      <c r="B21" s="291"/>
      <c r="C21" s="292"/>
      <c r="D21" s="293" t="n">
        <v>10</v>
      </c>
      <c r="E21" s="300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6"/>
    </row>
    <row r="22" customFormat="false" ht="13.5" hidden="false" customHeight="true" outlineLevel="0" collapsed="false">
      <c r="A22" s="297"/>
      <c r="B22" s="291"/>
      <c r="C22" s="292"/>
      <c r="D22" s="293"/>
      <c r="E22" s="300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6"/>
    </row>
    <row r="23" customFormat="false" ht="13.5" hidden="false" customHeight="true" outlineLevel="0" collapsed="false">
      <c r="A23" s="297"/>
      <c r="B23" s="291"/>
      <c r="C23" s="292"/>
      <c r="D23" s="293"/>
      <c r="E23" s="300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6"/>
    </row>
    <row r="24" customFormat="false" ht="13.5" hidden="false" customHeight="true" outlineLevel="0" collapsed="false">
      <c r="A24" s="297"/>
      <c r="B24" s="291"/>
      <c r="C24" s="292"/>
      <c r="D24" s="293"/>
      <c r="E24" s="300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6"/>
    </row>
    <row r="25" customFormat="false" ht="13.5" hidden="false" customHeight="true" outlineLevel="0" collapsed="false">
      <c r="A25" s="297"/>
      <c r="B25" s="291"/>
      <c r="C25" s="292"/>
      <c r="D25" s="293"/>
      <c r="E25" s="300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6"/>
    </row>
    <row r="26" customFormat="false" ht="13.5" hidden="false" customHeight="true" outlineLevel="0" collapsed="false">
      <c r="A26" s="297"/>
      <c r="B26" s="291"/>
      <c r="C26" s="292"/>
      <c r="D26" s="293"/>
      <c r="E26" s="300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6"/>
    </row>
    <row r="27" customFormat="false" ht="13.5" hidden="false" customHeight="true" outlineLevel="0" collapsed="false">
      <c r="A27" s="297"/>
      <c r="B27" s="291"/>
      <c r="C27" s="292"/>
      <c r="D27" s="293"/>
      <c r="E27" s="300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6"/>
    </row>
    <row r="28" customFormat="false" ht="13.5" hidden="false" customHeight="true" outlineLevel="0" collapsed="false">
      <c r="A28" s="297"/>
      <c r="B28" s="291"/>
      <c r="C28" s="292"/>
      <c r="D28" s="293"/>
      <c r="E28" s="300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6"/>
    </row>
    <row r="29" customFormat="false" ht="13.5" hidden="false" customHeight="true" outlineLevel="0" collapsed="false">
      <c r="A29" s="297"/>
      <c r="B29" s="291"/>
      <c r="C29" s="292"/>
      <c r="D29" s="293"/>
      <c r="E29" s="300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6"/>
    </row>
    <row r="30" customFormat="false" ht="13.5" hidden="false" customHeight="true" outlineLevel="0" collapsed="false">
      <c r="A30" s="297"/>
      <c r="B30" s="303"/>
      <c r="C30" s="304"/>
      <c r="D30" s="305"/>
      <c r="E30" s="306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8"/>
    </row>
    <row r="31" customFormat="false" ht="13.5" hidden="false" customHeight="true" outlineLevel="0" collapsed="false">
      <c r="A31" s="309" t="s">
        <v>144</v>
      </c>
      <c r="B31" s="310" t="s">
        <v>145</v>
      </c>
      <c r="C31" s="311"/>
      <c r="D31" s="312"/>
      <c r="E31" s="313"/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5"/>
    </row>
    <row r="32" customFormat="false" ht="13.5" hidden="false" customHeight="true" outlineLevel="0" collapsed="false">
      <c r="A32" s="316"/>
      <c r="B32" s="317"/>
      <c r="C32" s="318"/>
      <c r="D32" s="319" t="n">
        <v>1</v>
      </c>
      <c r="E32" s="320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6"/>
    </row>
    <row r="33" customFormat="false" ht="13.5" hidden="false" customHeight="true" outlineLevel="0" collapsed="false">
      <c r="A33" s="316"/>
      <c r="B33" s="317"/>
      <c r="C33" s="321"/>
      <c r="D33" s="319" t="n">
        <v>2</v>
      </c>
      <c r="E33" s="322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6"/>
    </row>
    <row r="34" customFormat="false" ht="13.5" hidden="false" customHeight="true" outlineLevel="0" collapsed="false">
      <c r="A34" s="316"/>
      <c r="B34" s="317" t="s">
        <v>148</v>
      </c>
      <c r="C34" s="321"/>
      <c r="D34" s="319"/>
      <c r="E34" s="322"/>
      <c r="F34" s="295"/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6"/>
    </row>
    <row r="35" customFormat="false" ht="13.5" hidden="false" customHeight="true" outlineLevel="0" collapsed="false">
      <c r="A35" s="316"/>
      <c r="B35" s="317"/>
      <c r="C35" s="321"/>
      <c r="D35" s="319"/>
      <c r="E35" s="322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6"/>
    </row>
    <row r="36" customFormat="false" ht="13.5" hidden="false" customHeight="true" outlineLevel="0" collapsed="false">
      <c r="A36" s="316"/>
      <c r="B36" s="317" t="s">
        <v>149</v>
      </c>
      <c r="C36" s="321"/>
      <c r="D36" s="319"/>
      <c r="E36" s="322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6"/>
    </row>
    <row r="37" customFormat="false" ht="13.5" hidden="false" customHeight="true" outlineLevel="0" collapsed="false">
      <c r="A37" s="316"/>
      <c r="B37" s="317"/>
      <c r="C37" s="321"/>
      <c r="D37" s="319" t="s">
        <v>180</v>
      </c>
      <c r="E37" s="322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6"/>
    </row>
    <row r="38" customFormat="false" ht="13.5" hidden="false" customHeight="true" outlineLevel="0" collapsed="false">
      <c r="A38" s="316"/>
      <c r="B38" s="323"/>
      <c r="C38" s="324"/>
      <c r="D38" s="325" t="s">
        <v>181</v>
      </c>
      <c r="E38" s="326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8"/>
    </row>
    <row r="39" customFormat="false" ht="13.5" hidden="false" customHeight="true" outlineLevel="0" collapsed="false">
      <c r="A39" s="309" t="s">
        <v>150</v>
      </c>
      <c r="B39" s="329" t="s">
        <v>151</v>
      </c>
      <c r="C39" s="329"/>
      <c r="D39" s="329"/>
      <c r="E39" s="329"/>
      <c r="F39" s="330"/>
      <c r="G39" s="330"/>
      <c r="H39" s="330"/>
      <c r="I39" s="330"/>
      <c r="J39" s="330"/>
      <c r="K39" s="330"/>
      <c r="L39" s="330"/>
      <c r="M39" s="330"/>
      <c r="N39" s="330"/>
      <c r="O39" s="330"/>
      <c r="P39" s="330"/>
      <c r="Q39" s="330"/>
      <c r="R39" s="330"/>
      <c r="S39" s="330"/>
      <c r="T39" s="331"/>
    </row>
    <row r="40" customFormat="false" ht="13.5" hidden="false" customHeight="true" outlineLevel="0" collapsed="false">
      <c r="A40" s="332"/>
      <c r="B40" s="333" t="s">
        <v>152</v>
      </c>
      <c r="C40" s="333"/>
      <c r="D40" s="333"/>
      <c r="E40" s="334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6"/>
    </row>
    <row r="41" customFormat="false" ht="13.5" hidden="false" customHeight="true" outlineLevel="0" collapsed="false">
      <c r="A41" s="332"/>
      <c r="B41" s="337" t="s">
        <v>153</v>
      </c>
      <c r="C41" s="337"/>
      <c r="D41" s="337"/>
      <c r="E41" s="338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40"/>
    </row>
    <row r="42" customFormat="false" ht="79.5" hidden="false" customHeight="true" outlineLevel="0" collapsed="false">
      <c r="A42" s="341"/>
      <c r="B42" s="342" t="s">
        <v>154</v>
      </c>
      <c r="C42" s="342"/>
      <c r="D42" s="342"/>
      <c r="E42" s="343"/>
      <c r="F42" s="344"/>
      <c r="G42" s="344"/>
      <c r="H42" s="344"/>
      <c r="I42" s="344"/>
      <c r="J42" s="344"/>
      <c r="K42" s="344"/>
      <c r="L42" s="344"/>
      <c r="M42" s="344"/>
      <c r="N42" s="344"/>
      <c r="O42" s="344"/>
      <c r="P42" s="344"/>
      <c r="Q42" s="344"/>
      <c r="R42" s="344"/>
      <c r="S42" s="344"/>
      <c r="T42" s="345"/>
    </row>
    <row r="43" customFormat="false" ht="12" hidden="false" customHeight="true" outlineLevel="0" collapsed="false">
      <c r="A43" s="258"/>
      <c r="B43" s="257"/>
      <c r="C43" s="259"/>
      <c r="D43" s="257"/>
    </row>
  </sheetData>
  <mergeCells count="28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19:E19"/>
    <mergeCell ref="B39:D39"/>
    <mergeCell ref="B40:D40"/>
    <mergeCell ref="B41:D41"/>
    <mergeCell ref="B42:D42"/>
  </mergeCells>
  <dataValidations count="3">
    <dataValidation allowBlank="true" errorStyle="stop" operator="between" showDropDown="false" showErrorMessage="true" showInputMessage="false" sqref="F39:T39" type="list">
      <formula1>"N,A,B,"</formula1>
      <formula2>0</formula2>
    </dataValidation>
    <dataValidation allowBlank="true" errorStyle="stop" operator="between" showDropDown="false" showErrorMessage="true" showInputMessage="false" sqref="F40:T40" type="list">
      <formula1>"P,F,"</formula1>
      <formula2>0</formula2>
    </dataValidation>
    <dataValidation allowBlank="true" errorStyle="stop" operator="between" showDropDown="false" showErrorMessage="true" showInputMessage="false" sqref="F10:T38" type="list">
      <formula1>"O,"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32" width="8.13"/>
    <col collapsed="false" customWidth="true" hidden="false" outlineLevel="0" max="2" min="2" style="133" width="13.37"/>
    <col collapsed="false" customWidth="true" hidden="false" outlineLevel="0" max="3" min="3" style="132" width="10.87"/>
    <col collapsed="false" customWidth="true" hidden="false" outlineLevel="0" max="4" min="4" style="134" width="11.37"/>
    <col collapsed="false" customWidth="true" hidden="true" outlineLevel="0" max="5" min="5" style="132" width="1.87"/>
    <col collapsed="false" customWidth="true" hidden="false" outlineLevel="0" max="21" min="6" style="132" width="2.87"/>
    <col collapsed="false" customWidth="false" hidden="false" outlineLevel="0" max="257" min="22" style="132" width="9"/>
  </cols>
  <sheetData>
    <row r="1" customFormat="false" ht="13.5" hidden="false" customHeight="true" outlineLevel="0" collapsed="false">
      <c r="A1" s="135"/>
      <c r="B1" s="136"/>
    </row>
    <row r="2" customFormat="false" ht="13.5" hidden="false" customHeight="true" outlineLevel="0" collapsed="false">
      <c r="A2" s="137" t="s">
        <v>113</v>
      </c>
      <c r="B2" s="137"/>
      <c r="C2" s="138" t="str">
        <f aca="false">FunctionList!E11</f>
        <v>DTC-CD</v>
      </c>
      <c r="D2" s="138"/>
      <c r="E2" s="138"/>
      <c r="F2" s="139" t="s">
        <v>78</v>
      </c>
      <c r="G2" s="139"/>
      <c r="H2" s="139"/>
      <c r="I2" s="139"/>
      <c r="J2" s="139"/>
      <c r="K2" s="139"/>
      <c r="L2" s="140" t="str">
        <f aca="false">FunctionList!D11</f>
        <v>IsValidDate</v>
      </c>
      <c r="M2" s="140"/>
      <c r="N2" s="140"/>
      <c r="O2" s="140"/>
      <c r="P2" s="140"/>
      <c r="Q2" s="140"/>
      <c r="R2" s="140"/>
      <c r="S2" s="140"/>
      <c r="T2" s="140"/>
      <c r="V2" s="141"/>
    </row>
    <row r="3" customFormat="false" ht="13.5" hidden="false" customHeight="true" outlineLevel="0" collapsed="false">
      <c r="A3" s="142" t="s">
        <v>114</v>
      </c>
      <c r="B3" s="142"/>
      <c r="C3" s="143" t="s">
        <v>171</v>
      </c>
      <c r="D3" s="143"/>
      <c r="E3" s="143"/>
      <c r="F3" s="144" t="s">
        <v>115</v>
      </c>
      <c r="G3" s="144"/>
      <c r="H3" s="144"/>
      <c r="I3" s="144"/>
      <c r="J3" s="144"/>
      <c r="K3" s="144"/>
      <c r="L3" s="145"/>
      <c r="M3" s="145"/>
      <c r="N3" s="145"/>
      <c r="O3" s="146"/>
      <c r="P3" s="146"/>
      <c r="Q3" s="146"/>
      <c r="R3" s="146"/>
      <c r="S3" s="146"/>
      <c r="T3" s="147"/>
    </row>
    <row r="4" customFormat="false" ht="13.5" hidden="false" customHeight="true" outlineLevel="0" collapsed="false">
      <c r="A4" s="142" t="s">
        <v>117</v>
      </c>
      <c r="B4" s="142"/>
      <c r="C4" s="148" t="n">
        <v>100</v>
      </c>
      <c r="D4" s="148"/>
      <c r="E4" s="149"/>
      <c r="F4" s="144" t="s">
        <v>118</v>
      </c>
      <c r="G4" s="144"/>
      <c r="H4" s="144"/>
      <c r="I4" s="144"/>
      <c r="J4" s="144"/>
      <c r="K4" s="144"/>
      <c r="L4" s="150" t="str">
        <f aca="false">IF(FunctionList!E6&lt;&gt;"N/A",SUM(C4*FunctionList!E6/1000,-O7),"N/A")</f>
        <v>N/A</v>
      </c>
      <c r="M4" s="150"/>
      <c r="N4" s="150"/>
      <c r="O4" s="150"/>
      <c r="P4" s="150"/>
      <c r="Q4" s="150"/>
      <c r="R4" s="150"/>
      <c r="S4" s="150"/>
      <c r="T4" s="150"/>
      <c r="V4" s="141"/>
    </row>
    <row r="5" customFormat="false" ht="13.5" hidden="false" customHeight="true" outlineLevel="0" collapsed="false">
      <c r="A5" s="142" t="s">
        <v>119</v>
      </c>
      <c r="B5" s="142"/>
      <c r="C5" s="151" t="s">
        <v>172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</row>
    <row r="6" customFormat="false" ht="13.5" hidden="false" customHeight="true" outlineLevel="0" collapsed="false">
      <c r="A6" s="152" t="s">
        <v>100</v>
      </c>
      <c r="B6" s="152"/>
      <c r="C6" s="153" t="s">
        <v>101</v>
      </c>
      <c r="D6" s="153"/>
      <c r="E6" s="153"/>
      <c r="F6" s="153" t="s">
        <v>102</v>
      </c>
      <c r="G6" s="153"/>
      <c r="H6" s="153"/>
      <c r="I6" s="153"/>
      <c r="J6" s="153"/>
      <c r="K6" s="153"/>
      <c r="L6" s="154" t="s">
        <v>121</v>
      </c>
      <c r="M6" s="154"/>
      <c r="N6" s="154"/>
      <c r="O6" s="155" t="s">
        <v>105</v>
      </c>
      <c r="P6" s="155"/>
      <c r="Q6" s="155"/>
      <c r="R6" s="155"/>
      <c r="S6" s="155"/>
      <c r="T6" s="155"/>
      <c r="V6" s="141"/>
    </row>
    <row r="7" customFormat="false" ht="13.5" hidden="false" customHeight="true" outlineLevel="0" collapsed="false">
      <c r="A7" s="156" t="n">
        <f aca="false">COUNTIF(F47:HQ47,"P")</f>
        <v>0</v>
      </c>
      <c r="B7" s="156"/>
      <c r="C7" s="157" t="n">
        <f aca="false">COUNTIF(F47:HQ47,"F")</f>
        <v>0</v>
      </c>
      <c r="D7" s="157"/>
      <c r="E7" s="157"/>
      <c r="F7" s="157" t="n">
        <f aca="false">SUM(O7,-A7,-C7)</f>
        <v>0</v>
      </c>
      <c r="G7" s="157"/>
      <c r="H7" s="157"/>
      <c r="I7" s="157"/>
      <c r="J7" s="157"/>
      <c r="K7" s="157"/>
      <c r="L7" s="158" t="n">
        <f aca="false">COUNTIF(E46:HQ46,"N")</f>
        <v>0</v>
      </c>
      <c r="M7" s="158" t="n">
        <f aca="false">COUNTIF(E46:HQ46,"A")</f>
        <v>0</v>
      </c>
      <c r="N7" s="158" t="n">
        <f aca="false">COUNTIF(E46:HQ46,"B")</f>
        <v>0</v>
      </c>
      <c r="O7" s="159" t="n">
        <f aca="false">COUNTA(E9:HT9)</f>
        <v>0</v>
      </c>
      <c r="P7" s="159"/>
      <c r="Q7" s="159"/>
      <c r="R7" s="159"/>
      <c r="S7" s="159"/>
      <c r="T7" s="159"/>
      <c r="U7" s="160"/>
    </row>
    <row r="8" customFormat="false" ht="12" hidden="false" customHeight="true" outlineLevel="0" collapsed="false"/>
    <row r="9" customFormat="false" ht="45" hidden="false" customHeight="true" outlineLevel="0" collapsed="false">
      <c r="A9" s="236"/>
      <c r="B9" s="346"/>
      <c r="C9" s="347"/>
      <c r="D9" s="348"/>
      <c r="E9" s="347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50"/>
      <c r="U9" s="167"/>
      <c r="V9" s="168"/>
      <c r="W9" s="169"/>
    </row>
    <row r="10" customFormat="false" ht="13.5" hidden="false" customHeight="true" outlineLevel="0" collapsed="false">
      <c r="A10" s="170" t="s">
        <v>137</v>
      </c>
      <c r="B10" s="178" t="s">
        <v>138</v>
      </c>
      <c r="C10" s="179"/>
      <c r="D10" s="180"/>
      <c r="E10" s="242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4"/>
    </row>
    <row r="11" customFormat="false" ht="13.5" hidden="false" customHeight="true" outlineLevel="0" collapsed="false">
      <c r="A11" s="177"/>
      <c r="B11" s="178"/>
      <c r="C11" s="179"/>
      <c r="D11" s="180"/>
      <c r="E11" s="174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4"/>
      <c r="V11" s="141"/>
    </row>
    <row r="12" customFormat="false" ht="13.5" hidden="false" customHeight="true" outlineLevel="0" collapsed="false">
      <c r="A12" s="177"/>
      <c r="B12" s="178"/>
      <c r="C12" s="179"/>
      <c r="D12" s="180"/>
      <c r="E12" s="174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4"/>
    </row>
    <row r="13" customFormat="false" ht="13.5" hidden="false" customHeight="true" outlineLevel="0" collapsed="false">
      <c r="A13" s="177"/>
      <c r="B13" s="178"/>
      <c r="C13" s="179"/>
      <c r="D13" s="180"/>
      <c r="E13" s="18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4"/>
    </row>
    <row r="14" customFormat="false" ht="13.5" hidden="false" customHeight="true" outlineLevel="0" collapsed="false">
      <c r="A14" s="177"/>
      <c r="B14" s="178" t="s">
        <v>182</v>
      </c>
      <c r="C14" s="179"/>
      <c r="D14" s="180"/>
      <c r="E14" s="184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4"/>
    </row>
    <row r="15" customFormat="false" ht="13.5" hidden="false" customHeight="true" outlineLevel="0" collapsed="false">
      <c r="A15" s="177"/>
      <c r="B15" s="178"/>
      <c r="C15" s="179"/>
      <c r="D15" s="180" t="n">
        <v>-2</v>
      </c>
      <c r="E15" s="184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4"/>
    </row>
    <row r="16" customFormat="false" ht="13.5" hidden="false" customHeight="true" outlineLevel="0" collapsed="false">
      <c r="A16" s="177"/>
      <c r="B16" s="178"/>
      <c r="C16" s="179"/>
      <c r="D16" s="180" t="n">
        <v>-1</v>
      </c>
      <c r="E16" s="184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4"/>
    </row>
    <row r="17" customFormat="false" ht="13.5" hidden="false" customHeight="true" outlineLevel="0" collapsed="false">
      <c r="A17" s="177"/>
      <c r="B17" s="178"/>
      <c r="C17" s="179"/>
      <c r="D17" s="180" t="n">
        <v>0</v>
      </c>
      <c r="E17" s="184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4"/>
      <c r="U17" s="245"/>
    </row>
    <row r="18" customFormat="false" ht="13.5" hidden="false" customHeight="true" outlineLevel="0" collapsed="false">
      <c r="A18" s="177"/>
      <c r="B18" s="178"/>
      <c r="C18" s="179"/>
      <c r="D18" s="180" t="n">
        <v>1</v>
      </c>
      <c r="E18" s="184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4"/>
      <c r="U18" s="245"/>
    </row>
    <row r="19" customFormat="false" ht="13.5" hidden="false" customHeight="true" outlineLevel="0" collapsed="false">
      <c r="A19" s="177"/>
      <c r="B19" s="178" t="s">
        <v>183</v>
      </c>
      <c r="C19" s="179"/>
      <c r="D19" s="180"/>
      <c r="E19" s="184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4"/>
      <c r="U19" s="245"/>
    </row>
    <row r="20" customFormat="false" ht="13.5" hidden="false" customHeight="true" outlineLevel="0" collapsed="false">
      <c r="A20" s="177"/>
      <c r="B20" s="178"/>
      <c r="C20" s="179"/>
      <c r="D20" s="186" t="n">
        <v>0</v>
      </c>
      <c r="E20" s="186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4"/>
    </row>
    <row r="21" customFormat="false" ht="13.5" hidden="false" customHeight="true" outlineLevel="0" collapsed="false">
      <c r="A21" s="177"/>
      <c r="B21" s="178"/>
      <c r="C21" s="179"/>
      <c r="D21" s="180" t="n">
        <v>-2</v>
      </c>
      <c r="E21" s="184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4"/>
    </row>
    <row r="22" customFormat="false" ht="13.5" hidden="false" customHeight="true" outlineLevel="0" collapsed="false">
      <c r="A22" s="177"/>
      <c r="B22" s="178"/>
      <c r="C22" s="179"/>
      <c r="D22" s="180" t="n">
        <v>2</v>
      </c>
      <c r="E22" s="184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4"/>
    </row>
    <row r="23" customFormat="false" ht="13.5" hidden="false" customHeight="true" outlineLevel="0" collapsed="false">
      <c r="A23" s="177"/>
      <c r="B23" s="178" t="s">
        <v>184</v>
      </c>
      <c r="C23" s="179"/>
      <c r="D23" s="180"/>
      <c r="E23" s="184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4"/>
    </row>
    <row r="24" customFormat="false" ht="13.5" hidden="false" customHeight="true" outlineLevel="0" collapsed="false">
      <c r="A24" s="177"/>
      <c r="B24" s="178"/>
      <c r="C24" s="179"/>
      <c r="D24" s="180" t="n">
        <v>0</v>
      </c>
      <c r="E24" s="184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4"/>
    </row>
    <row r="25" customFormat="false" ht="13.5" hidden="false" customHeight="true" outlineLevel="0" collapsed="false">
      <c r="A25" s="177"/>
      <c r="B25" s="178"/>
      <c r="C25" s="179"/>
      <c r="D25" s="180" t="n">
        <v>1</v>
      </c>
      <c r="E25" s="184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4"/>
    </row>
    <row r="26" customFormat="false" ht="13.5" hidden="false" customHeight="true" outlineLevel="0" collapsed="false">
      <c r="A26" s="177"/>
      <c r="B26" s="178"/>
      <c r="C26" s="179"/>
      <c r="D26" s="180" t="n">
        <v>3</v>
      </c>
      <c r="E26" s="184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4"/>
    </row>
    <row r="27" customFormat="false" ht="13.5" hidden="false" customHeight="true" outlineLevel="0" collapsed="false">
      <c r="A27" s="177"/>
      <c r="B27" s="178"/>
      <c r="C27" s="179"/>
      <c r="D27" s="180" t="n">
        <v>5</v>
      </c>
      <c r="E27" s="184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4"/>
    </row>
    <row r="28" customFormat="false" ht="13.5" hidden="false" customHeight="true" outlineLevel="0" collapsed="false">
      <c r="A28" s="177"/>
      <c r="B28" s="178"/>
      <c r="C28" s="179"/>
      <c r="D28" s="180"/>
      <c r="E28" s="184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4"/>
    </row>
    <row r="29" customFormat="false" ht="13.5" hidden="false" customHeight="true" outlineLevel="0" collapsed="false">
      <c r="A29" s="177"/>
      <c r="B29" s="178"/>
      <c r="C29" s="179"/>
      <c r="D29" s="180"/>
      <c r="E29" s="184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4"/>
    </row>
    <row r="30" customFormat="false" ht="13.5" hidden="false" customHeight="true" outlineLevel="0" collapsed="false">
      <c r="A30" s="177"/>
      <c r="B30" s="178"/>
      <c r="C30" s="179"/>
      <c r="D30" s="180"/>
      <c r="E30" s="184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4"/>
    </row>
    <row r="31" customFormat="false" ht="13.5" hidden="false" customHeight="true" outlineLevel="0" collapsed="false">
      <c r="A31" s="177"/>
      <c r="B31" s="178"/>
      <c r="C31" s="179"/>
      <c r="D31" s="180"/>
      <c r="E31" s="184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4"/>
    </row>
    <row r="32" customFormat="false" ht="13.5" hidden="false" customHeight="true" outlineLevel="0" collapsed="false">
      <c r="A32" s="177"/>
      <c r="B32" s="187"/>
      <c r="C32" s="188"/>
      <c r="D32" s="189"/>
      <c r="E32" s="190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7"/>
    </row>
    <row r="33" customFormat="false" ht="13.5" hidden="false" customHeight="true" outlineLevel="0" collapsed="false">
      <c r="A33" s="193" t="s">
        <v>144</v>
      </c>
      <c r="B33" s="194" t="s">
        <v>145</v>
      </c>
      <c r="C33" s="195"/>
      <c r="D33" s="196"/>
      <c r="E33" s="197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9"/>
    </row>
    <row r="34" customFormat="false" ht="13.5" hidden="false" customHeight="true" outlineLevel="0" collapsed="false">
      <c r="A34" s="198"/>
      <c r="B34" s="351" t="s">
        <v>185</v>
      </c>
      <c r="C34" s="200"/>
      <c r="D34" s="201"/>
      <c r="E34" s="202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4"/>
    </row>
    <row r="35" customFormat="false" ht="13.5" hidden="false" customHeight="true" outlineLevel="0" collapsed="false">
      <c r="A35" s="198"/>
      <c r="B35" s="351"/>
      <c r="C35" s="200"/>
      <c r="D35" s="201" t="s">
        <v>177</v>
      </c>
      <c r="E35" s="202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4"/>
    </row>
    <row r="36" customFormat="false" ht="13.5" hidden="false" customHeight="true" outlineLevel="0" collapsed="false">
      <c r="A36" s="198"/>
      <c r="B36" s="351"/>
      <c r="C36" s="200"/>
      <c r="D36" s="201" t="s">
        <v>186</v>
      </c>
      <c r="E36" s="202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4"/>
    </row>
    <row r="37" customFormat="false" ht="13.5" hidden="false" customHeight="true" outlineLevel="0" collapsed="false">
      <c r="A37" s="198"/>
      <c r="B37" s="351"/>
      <c r="C37" s="200"/>
      <c r="D37" s="201" t="s">
        <v>187</v>
      </c>
      <c r="E37" s="202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4"/>
    </row>
    <row r="38" customFormat="false" ht="13.5" hidden="false" customHeight="true" outlineLevel="0" collapsed="false">
      <c r="A38" s="198"/>
      <c r="B38" s="351"/>
      <c r="C38" s="200"/>
      <c r="D38" s="201" t="s">
        <v>188</v>
      </c>
      <c r="E38" s="202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4"/>
    </row>
    <row r="39" customFormat="false" ht="13.5" hidden="false" customHeight="true" outlineLevel="0" collapsed="false">
      <c r="A39" s="198"/>
      <c r="B39" s="199"/>
      <c r="C39" s="250"/>
      <c r="D39" s="201" t="s">
        <v>189</v>
      </c>
      <c r="E39" s="204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4"/>
    </row>
    <row r="40" customFormat="false" ht="13.5" hidden="false" customHeight="true" outlineLevel="0" collapsed="false">
      <c r="A40" s="198"/>
      <c r="B40" s="199" t="s">
        <v>148</v>
      </c>
      <c r="C40" s="250"/>
      <c r="D40" s="201"/>
      <c r="E40" s="204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4"/>
    </row>
    <row r="41" customFormat="false" ht="13.5" hidden="false" customHeight="true" outlineLevel="0" collapsed="false">
      <c r="A41" s="198"/>
      <c r="B41" s="199"/>
      <c r="C41" s="250"/>
      <c r="D41" s="201"/>
      <c r="E41" s="204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4"/>
    </row>
    <row r="42" customFormat="false" ht="13.5" hidden="false" customHeight="true" outlineLevel="0" collapsed="false">
      <c r="A42" s="198"/>
      <c r="B42" s="199" t="s">
        <v>149</v>
      </c>
      <c r="C42" s="250"/>
      <c r="D42" s="201"/>
      <c r="E42" s="204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</row>
    <row r="43" customFormat="false" ht="13.5" hidden="false" customHeight="true" outlineLevel="0" collapsed="false">
      <c r="A43" s="198"/>
      <c r="B43" s="199"/>
      <c r="C43" s="250"/>
      <c r="D43" s="201" t="s">
        <v>190</v>
      </c>
      <c r="E43" s="204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4"/>
    </row>
    <row r="44" customFormat="false" ht="13.5" hidden="false" customHeight="true" outlineLevel="0" collapsed="false">
      <c r="A44" s="198"/>
      <c r="B44" s="205"/>
      <c r="C44" s="206"/>
      <c r="D44" s="207"/>
      <c r="E44" s="208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2"/>
    </row>
    <row r="45" customFormat="false" ht="13.5" hidden="false" customHeight="true" outlineLevel="0" collapsed="false">
      <c r="A45" s="193" t="s">
        <v>150</v>
      </c>
      <c r="B45" s="211" t="s">
        <v>151</v>
      </c>
      <c r="C45" s="211"/>
      <c r="D45" s="211"/>
      <c r="E45" s="211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4"/>
    </row>
    <row r="46" customFormat="false" ht="13.5" hidden="false" customHeight="true" outlineLevel="0" collapsed="false">
      <c r="A46" s="352"/>
      <c r="B46" s="214" t="s">
        <v>152</v>
      </c>
      <c r="C46" s="214"/>
      <c r="D46" s="214"/>
      <c r="E46" s="21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6"/>
    </row>
    <row r="47" customFormat="false" ht="13.5" hidden="false" customHeight="true" outlineLevel="0" collapsed="false">
      <c r="A47" s="352"/>
      <c r="B47" s="218" t="s">
        <v>153</v>
      </c>
      <c r="C47" s="218"/>
      <c r="D47" s="218"/>
      <c r="E47" s="219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1"/>
    </row>
    <row r="48" customFormat="false" ht="12" hidden="false" customHeight="true" outlineLevel="0" collapsed="false">
      <c r="A48" s="353"/>
      <c r="B48" s="223" t="s">
        <v>154</v>
      </c>
      <c r="C48" s="223"/>
      <c r="D48" s="223"/>
      <c r="E48" s="224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6"/>
    </row>
    <row r="49" customFormat="false" ht="12" hidden="false" customHeight="true" outlineLevel="0" collapsed="false">
      <c r="A49" s="133"/>
      <c r="B49" s="132"/>
      <c r="C49" s="134"/>
      <c r="D49" s="132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20:E20"/>
    <mergeCell ref="B45:D45"/>
    <mergeCell ref="B46:D46"/>
    <mergeCell ref="B47:D47"/>
    <mergeCell ref="B48:D48"/>
  </mergeCells>
  <dataValidations count="3">
    <dataValidation allowBlank="true" errorStyle="stop" operator="between" showDropDown="false" showErrorMessage="true" showInputMessage="false" sqref="F46:T46" type="list">
      <formula1>"P,F,"</formula1>
      <formula2>0</formula2>
    </dataValidation>
    <dataValidation allowBlank="true" errorStyle="stop" operator="between" showDropDown="false" showErrorMessage="true" showInputMessage="false" sqref="F45:T45" type="list">
      <formula1>"N,A,B,"</formula1>
      <formula2>0</formula2>
    </dataValidation>
    <dataValidation allowBlank="true" errorStyle="stop" operator="between" showDropDown="false" showErrorMessage="true" showInputMessage="false" sqref="F10:T44" type="list">
      <formula1>"O,"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2026-09-26T08:08:53Z</dcterms:created>
  <dc:creator>Vector Nguyen</dc:creator>
  <dc:description/>
  <dc:language>en-US</dc:language>
  <cp:lastModifiedBy/>
  <dcterms:modified xsi:type="dcterms:W3CDTF">2026-09-30T14:02:23Z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